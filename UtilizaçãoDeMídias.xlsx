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e dados - Utilização" sheetId="1" r:id="rId4"/>
  </sheets>
  <definedNames>
    <definedName hidden="1" localSheetId="0" name="_xlnm._FilterDatabase">'Base de dados - Utilização'!$A$1:$P$175</definedName>
  </definedNames>
  <calcPr/>
</workbook>
</file>

<file path=xl/sharedStrings.xml><?xml version="1.0" encoding="utf-8"?>
<sst xmlns="http://schemas.openxmlformats.org/spreadsheetml/2006/main" count="535" uniqueCount="151">
  <si>
    <t>Carimbo de data/hora</t>
  </si>
  <si>
    <t xml:space="preserve">Qual sua faixa etária? </t>
  </si>
  <si>
    <t>Classificação</t>
  </si>
  <si>
    <t xml:space="preserve">Selecione abaixo quais itens você faz uso no seu dia a dia: </t>
  </si>
  <si>
    <t>Livros</t>
  </si>
  <si>
    <t>Podcasts</t>
  </si>
  <si>
    <t xml:space="preserve"> Vídeos Online</t>
  </si>
  <si>
    <t>Videogames</t>
  </si>
  <si>
    <t>Tv aberta</t>
  </si>
  <si>
    <t>Serviços de Streaming</t>
  </si>
  <si>
    <t>Rádio</t>
  </si>
  <si>
    <t>Prensa física</t>
  </si>
  <si>
    <t>Streaming de músicas</t>
  </si>
  <si>
    <t>Prensa Online</t>
  </si>
  <si>
    <t>Lives e  Shows</t>
  </si>
  <si>
    <t>Redes Sociais</t>
  </si>
  <si>
    <t>16 - 23 anos</t>
  </si>
  <si>
    <t>Geração Z</t>
  </si>
  <si>
    <t>Vídeos Online, Videogames, Tv aberta, Rádio, Prensa Online, Redes Sociais</t>
  </si>
  <si>
    <t>Serviços de Streaming (Netflix, Amazon prime, etc), Streaming de música, Redes Sociais</t>
  </si>
  <si>
    <t>Livros, Vídeos Online, Tv aberta, Serviços de Streaming (Netflix, Amazon prime, etc), Redes Sociais</t>
  </si>
  <si>
    <t>Livros, Vídeos Online, Serviços de Streaming (Netflix, Amazon prime, etc), Redes Sociais</t>
  </si>
  <si>
    <t>Livros, Poadcasts, Vídeos Online, Videogames, Serviços de Streaming (Netflix, Amazon prime, etc), Rádio, Streaming de música, Lives / Shows</t>
  </si>
  <si>
    <t>Livros, Poadcasts, Vídeos Online, Serviços de Streaming (Netflix, Amazon prime, etc), Streaming de música, Redes Sociais</t>
  </si>
  <si>
    <t>Vídeos Online, Videogames, Serviços de Streaming (Netflix, Amazon prime, etc), Streaming de música, Lives / Shows, Redes Sociais</t>
  </si>
  <si>
    <t>Livros, Podcasts, Vídeos Online, Videogames, Serviços de Streaming (Netflix, Amazon prime, etc), Streaming de música, Prensa Online, Lives / Shows, Redes Sociais</t>
  </si>
  <si>
    <t>Livros, Podcasts, Vídeos Online, Serviços de Streaming (Netflix, Amazon prime, etc), Streaming de música, Redes Sociais</t>
  </si>
  <si>
    <t>Livros, Vídeos Online, Videogames, Tv aberta, Serviços de Streaming (Netflix, Amazon prime, etc), Lives / Shows, Redes Sociais</t>
  </si>
  <si>
    <t>Vídeos Online, Videogames, Streaming de música, Lives / Shows, Redes Sociais</t>
  </si>
  <si>
    <t>Vídeos Online, Videogames, Tv aberta, Serviços de Streaming (Netflix, Amazon prime, etc), Streaming de música, Lives / Shows, Redes Sociais</t>
  </si>
  <si>
    <t>Livros, Podcasts, Vídeos Online, Videogames, Serviços de Streaming (Netflix, Amazon prime, etc), Streaming de música, Lives / Shows, Redes Sociais</t>
  </si>
  <si>
    <t>Livros, Podcasts, Vídeos Online, Serviços de Streaming (Netflix, Amazon prime, etc), Redes Sociais</t>
  </si>
  <si>
    <t>Livros, Vídeos Online, Serviços de Streaming (Netflix, Amazon prime, etc), Rádio, Streaming de música, Prensa Online</t>
  </si>
  <si>
    <t>Podcasts, Vídeos Online, Videogames, Serviços de Streaming (Netflix, Amazon prime, etc), Streaming de música, Lives / Shows, Redes Sociais</t>
  </si>
  <si>
    <t>Podcasts, Vídeos Online, Videogames, Streaming de música, Redes Sociais</t>
  </si>
  <si>
    <t>Vídeos Online, Videogames, Redes Sociais</t>
  </si>
  <si>
    <t>Vídeos Online, Tv aberta, Serviços de Streaming (Netflix, Amazon prime, etc), Rádio, Streaming de música, Prensa Online, Lives / Shows, Redes Sociais</t>
  </si>
  <si>
    <t>24 - 37 anos</t>
  </si>
  <si>
    <t>Millenials</t>
  </si>
  <si>
    <t>Livros, Poadcasts, Vídeos Online, Tv aberta, Serviços de Streaming (Netflix, Amazon prime, etc), Streaming de música, Prensa Online, Lives / Shows, Redes Sociais</t>
  </si>
  <si>
    <t>Livros, Vídeos Online, Tv aberta, Serviços de Streaming (Netflix, Amazon prime, etc), Prensa Online, Lives / Shows, Redes Sociais</t>
  </si>
  <si>
    <t>Tv aberta, Serviços de Streaming (Netflix, Amazon prime, etc), Streaming de música, Lives / Shows, Redes Sociais</t>
  </si>
  <si>
    <t>Livros, Poadcasts, Vídeos Online, Videogames, Tv aberta, Serviços de Streaming (Netflix, Amazon prime, etc), Streaming de música, Prensa Online, Lives / Shows, Redes Sociais</t>
  </si>
  <si>
    <t>Vídeos Online, Tv aberta, Serviços de Streaming (Netflix, Amazon prime, etc), Rádio, Redes Sociais</t>
  </si>
  <si>
    <t>Livros, Poadcasts, Vídeos Online, Serviços de Streaming (Netflix, Amazon prime, etc), Redes Sociais</t>
  </si>
  <si>
    <t>Livros, Poadcasts, Tv aberta, Serviços de Streaming (Netflix, Amazon prime, etc), Streaming de música, Prensa Online, Redes Sociais</t>
  </si>
  <si>
    <t>Poadcasts, Vídeos Online, Serviços de Streaming (Netflix, Amazon prime, etc), Streaming de música, Redes Sociais</t>
  </si>
  <si>
    <t>Vídeos Online, Videogames, Serviços de Streaming (Netflix, Amazon prime, etc), Streaming de música</t>
  </si>
  <si>
    <t xml:space="preserve">
Millenials</t>
  </si>
  <si>
    <t>Vídeos Online, Videogames, Tv aberta, Serviços de Streaming (Netflix, Amazon prime, etc), Redes Sociais</t>
  </si>
  <si>
    <t>Livros, Poadcasts, Vídeos Online, Videogames, Tv aberta, Serviços de Streaming (Netflix, Amazon prime, etc), Prensa física (Jornais, revistas, etc), Streaming de música, Redes Sociais</t>
  </si>
  <si>
    <t>Livros, Poadcasts, Vídeos Online, Videogames, Tv aberta, Serviços de Streaming (Netflix, Amazon prime, etc), Rádio, Streaming de música, Redes Sociais</t>
  </si>
  <si>
    <t>Vídeos Online, Tv aberta, Serviços de Streaming (Netflix, Amazon prime, etc), Lives / Shows, Redes Sociais</t>
  </si>
  <si>
    <t>Vídeos Online, Videogames, Serviços de Streaming (Netflix, Amazon prime, etc), Streaming de música, Redes Sociais</t>
  </si>
  <si>
    <t>Livros, Poadcasts, Vídeos Online, Videogames, Serviços de Streaming (Netflix, Amazon prime, etc), Redes Sociais</t>
  </si>
  <si>
    <t>Streaming de música, Redes Sociais</t>
  </si>
  <si>
    <t>Livros, Poadcasts, Vídeos Online, Videogames, Serviços de Streaming (Netflix, Amazon prime, etc), Streaming de música, Lives / Shows, Redes Sociais</t>
  </si>
  <si>
    <t>Poadcasts, Vídeos Online, Videogames, Tv aberta, Serviços de Streaming (Netflix, Amazon prime, etc), Rádio, Streaming de música, Redes Sociais</t>
  </si>
  <si>
    <t>Livros, Vídeos Online, Rádio, Prensa física (Jornais, revistas, etc), Prensa Online</t>
  </si>
  <si>
    <t>Livros, Vídeos Online, Rádio, Streaming de música, Redes Sociais</t>
  </si>
  <si>
    <t>Podcasts, Vídeos Online, Serviços de Streaming (Netflix, Amazon prime, etc), Streaming de música, Redes Sociais</t>
  </si>
  <si>
    <t>Livros, Vídeos Online, Serviços de Streaming (Netflix, Amazon prime, etc)</t>
  </si>
  <si>
    <t>Podcasts, Vídeos Online, Serviços de Streaming (Netflix, Amazon prime, etc), Rádio, Streaming de música</t>
  </si>
  <si>
    <t>Livros, Podcasts, Vídeos Online, Videogames, Serviços de Streaming (Netflix, Amazon prime, etc), Lives / Shows, Redes Sociais</t>
  </si>
  <si>
    <t>Podcasts, Vídeos Online, Serviços de Streaming (Netflix, Amazon prime, etc)</t>
  </si>
  <si>
    <t>Livros, Podcasts, Vídeos Online, Tv aberta, Serviços de Streaming (Netflix, Amazon prime, etc), Streaming de música, Prensa Online, Lives / Shows, Redes Sociais</t>
  </si>
  <si>
    <t>Livros, Podcasts, Vídeos Online, Serviços de Streaming (Netflix, Amazon prime, etc), Streaming de música, Lives / Shows, Redes Sociais</t>
  </si>
  <si>
    <t>Podcasts, Vídeos Online, Videogames, Tv aberta, Serviços de Streaming (Netflix, Amazon prime, etc), Prensa física (Jornais, revistas, etc), Streaming de música, Prensa Online, Lives / Shows, Redes Sociais</t>
  </si>
  <si>
    <t>Livros, Vídeos Online, Tv aberta, Serviços de Streaming (Netflix, Amazon prime, etc), Rádio, Streaming de música, Lives / Shows, Redes Sociais</t>
  </si>
  <si>
    <t>Livros, Vídeos Online, Rádio, Redes Sociais</t>
  </si>
  <si>
    <t>Vídeos Online, Serviços de Streaming (Netflix, Amazon prime, etc), Streaming de música, Redes Sociais</t>
  </si>
  <si>
    <t>Vídeos Online, Videogames, Tv aberta, Serviços de Streaming (Netflix, Amazon prime, etc), Streaming de música, Redes Sociais</t>
  </si>
  <si>
    <t>Livros, Podcasts, Vídeos Online, Videogames, Serviços de Streaming (Netflix, Amazon prime, etc), Streaming de música, Redes Sociais</t>
  </si>
  <si>
    <t>Podcasts, Vídeos Online, Tv aberta, Streaming de música, Redes Sociais</t>
  </si>
  <si>
    <t>Livros, Podcasts, Vídeos Online, Tv aberta, Serviços de Streaming (Netflix, Amazon prime, etc), Rádio, Streaming de música, Prensa Online, Lives / Shows, Redes Sociais</t>
  </si>
  <si>
    <t>Livros, Podcasts, Vídeos Online, Serviços de Streaming (Netflix, Amazon prime, etc), Streaming de música, Prensa Online, Redes Sociais</t>
  </si>
  <si>
    <t>Livros, Redes Sociais</t>
  </si>
  <si>
    <t>Livros, Vídeos Online, Serviços de Streaming (Netflix, Amazon prime, etc), Streaming de música, Redes Sociais</t>
  </si>
  <si>
    <t>Vídeos Online, Prensa física (Jornais, revistas, etc), Streaming de música, Redes Sociais</t>
  </si>
  <si>
    <t>Livros, Vídeos Online, Videogames, Serviços de Streaming (Netflix, Amazon prime, etc), Streaming de música, Redes Sociais</t>
  </si>
  <si>
    <t>Podcasts, Vídeos Online, Videogames, Serviços de Streaming (Netflix, Amazon prime, etc), Streaming de música, Prensa Online, Redes Sociais</t>
  </si>
  <si>
    <t>Livros, Podcasts, Tv aberta, Serviços de Streaming (Netflix, Amazon prime, etc), Streaming de música, Redes Sociais</t>
  </si>
  <si>
    <t>Livros, Vídeos Online, Serviços de Streaming (Netflix, Amazon prime, etc), Prensa física (Jornais, revistas, etc), Redes Sociais</t>
  </si>
  <si>
    <t>Vídeos Online, Serviços de Streaming (Netflix, Amazon prime, etc), Prensa física (Jornais, revistas, etc), Streaming de música, Prensa Online, Lives / Shows, Redes Sociais</t>
  </si>
  <si>
    <t>Livros, Vídeos Online, Tv aberta, Rádio, Streaming de música, Prensa Online, Lives / Shows, Redes Sociais</t>
  </si>
  <si>
    <t>Vídeos Online, Tv aberta, Serviços de Streaming (Netflix, Amazon prime, etc), Redes Sociais</t>
  </si>
  <si>
    <t>Vídeos Online, Videogames, Serviços de Streaming (Netflix, Amazon prime, etc)</t>
  </si>
  <si>
    <t>Livros, Podcasts, Vídeos Online, Rádio, Streaming de música, Prensa Online</t>
  </si>
  <si>
    <t>Livros, Vídeos Online, Videogames, Tv aberta, Serviços de Streaming (Netflix, Amazon prime, etc), Prensa física (Jornais, revistas, etc), Streaming de música, Redes Sociais</t>
  </si>
  <si>
    <t>Livros, Podcasts, Vídeos Online, Videogames, Tv aberta, Serviços de Streaming (Netflix, Amazon prime, etc), Rádio, Streaming de música, Lives / Shows, Redes Sociais</t>
  </si>
  <si>
    <t>Livros, Podcasts, Vídeos Online, Serviços de Streaming (Netflix, Amazon prime, etc)</t>
  </si>
  <si>
    <t>Livros, Podcasts, Vídeos Online, Videogames, Tv aberta, Serviços de Streaming (Netflix, Amazon prime, etc), Rádio, Streaming de música, Prensa Online, Redes Sociais</t>
  </si>
  <si>
    <t>Livros, Vídeos Online, Videogames, Serviços de Streaming (Netflix, Amazon prime, etc), Streaming de música, Lives / Shows, Redes Sociais</t>
  </si>
  <si>
    <t>Livros, Tv aberta, Serviços de Streaming (Netflix, Amazon prime, etc), Rádio, Streaming de música, Redes Sociais</t>
  </si>
  <si>
    <t>Podcasts, Vídeos Online, Serviços de Streaming (Netflix, Amazon prime, etc), Redes Sociais</t>
  </si>
  <si>
    <t>Livros, Podcasts, Vídeos Online, Videogames, Tv aberta, Serviços de Streaming (Netflix, Amazon prime, etc), Rádio, Streaming de música, Redes Sociais</t>
  </si>
  <si>
    <t>Vídeos Online, Serviços de Streaming (Netflix, Amazon prime, etc), Rádio, Streaming de música, Prensa Online, Redes Sociais</t>
  </si>
  <si>
    <t>Vídeos Online, Serviços de Streaming (Netflix, Amazon prime, etc), Redes Sociais</t>
  </si>
  <si>
    <t>Livros, Vídeos Online, Tv aberta, Serviços de Streaming (Netflix, Amazon prime, etc), Rádio, Streaming de música, Redes Sociais</t>
  </si>
  <si>
    <t>Vídeos Online, Tv aberta, Serviços de Streaming (Netflix, Amazon prime, etc), Prensa Online, Redes Sociais</t>
  </si>
  <si>
    <t>Vídeos Online, Serviços de Streaming (Netflix, Amazon prime, etc), Streaming de música, Prensa Online, Redes Sociais</t>
  </si>
  <si>
    <t>Tv aberta, Serviços de Streaming (Netflix, Amazon prime, etc), Rádio, Prensa física (Jornais, revistas, etc)</t>
  </si>
  <si>
    <t>Livros, Vídeos Online, Videogames, Tv aberta, Serviços de Streaming (Netflix, Amazon prime, etc), Rádio, Streaming de música, Lives / Shows, Redes Sociais</t>
  </si>
  <si>
    <t>Livros, Vídeos Online, Tv aberta, Serviços de Streaming (Netflix, Amazon prime, etc), Rádio, Redes Sociais</t>
  </si>
  <si>
    <t>Livros, Podcasts, Serviços de Streaming (Netflix, Amazon prime, etc), Streaming de música, Lives / Shows, Redes Sociais</t>
  </si>
  <si>
    <t>Serviços de Streaming (Netflix, Amazon prime, etc), Rádio, Streaming de música, Redes Sociais</t>
  </si>
  <si>
    <t>38 - 56 anos</t>
  </si>
  <si>
    <t>Geração X</t>
  </si>
  <si>
    <t>Livros, Vídeos Online, Tv aberta, Lives / Shows, Redes Sociais</t>
  </si>
  <si>
    <t>Livros, Poadcasts, Vídeos Online, Videogames, Rádio, Streaming de música, Prensa Online, Lives / Shows, Redes Sociais</t>
  </si>
  <si>
    <t>Livros, Vídeos Online, Tv aberta, Serviços de Streaming (Netflix, Amazon prime, etc), Prensa física (Jornais, revistas, etc), Streaming de música, Lives / Shows, Redes Sociais</t>
  </si>
  <si>
    <t>Livros, Serviços de Streaming (Netflix, Amazon prime, etc), Rádio, Streaming de música, Prensa Online, Redes Sociais</t>
  </si>
  <si>
    <t>Serviços de Streaming (Netflix, Amazon prime, etc), Redes Sociais</t>
  </si>
  <si>
    <t>Livros, Podcasts, Vídeos Online, Tv aberta, Streaming de música</t>
  </si>
  <si>
    <t>Tv aberta, Serviços de Streaming (Netflix, Amazon prime, etc), Rádio, Streaming de música, Prensa Online, Lives / Shows, Redes Sociais</t>
  </si>
  <si>
    <t>Vídeos Online, Tv aberta, Serviços de Streaming (Netflix, Amazon prime, etc), Prensa Online, Lives / Shows</t>
  </si>
  <si>
    <t>Vídeos Online, Tv aberta, Serviços de Streaming (Netflix, Amazon prime, etc), Rádio, Streaming de música, Prensa Online, Redes Sociais</t>
  </si>
  <si>
    <t>Podcasts, Vídeos Online, Tv aberta, Serviços de Streaming (Netflix, Amazon prime, etc), Streaming de música</t>
  </si>
  <si>
    <t>Vídeos Online, Tv aberta, Serviços de Streaming (Netflix, Amazon prime, etc), Rádio, Streaming de música, Lives / Shows, Redes Sociais</t>
  </si>
  <si>
    <t>Livros, Vídeos Online, Tv aberta, Serviços de Streaming (Netflix, Amazon prime, etc), Rádio, Lives / Shows, Redes Sociais</t>
  </si>
  <si>
    <t>Livros, Vídeos Online, Tv aberta, Serviços de Streaming (Netflix, Amazon prime, etc), Streaming de música, Prensa Online, Lives / Shows, Redes Sociais</t>
  </si>
  <si>
    <t>Livros, Podcasts, Vídeos Online, Tv aberta, Redes Sociais</t>
  </si>
  <si>
    <t>Vídeos Online, Serviços de Streaming (Netflix, Amazon prime, etc), Rádio, Streaming de música, Redes Sociais</t>
  </si>
  <si>
    <t>Livros, Tv aberta, Serviços de Streaming (Netflix, Amazon prime, etc), Lives / Shows, Redes Sociais</t>
  </si>
  <si>
    <t>Vídeos Online, Tv aberta, Serviços de Streaming (Netflix, Amazon prime, etc), Rádio, Streaming de música, Redes Sociais</t>
  </si>
  <si>
    <t>Livros, Podcasts, Vídeos Online, Videogames, Serviços de Streaming (Netflix, Amazon prime, etc), Rádio, Streaming de música, Prensa Online, Lives / Shows, Redes Sociais</t>
  </si>
  <si>
    <t>Tv aberta, Rádio, Redes Sociais</t>
  </si>
  <si>
    <t>Livros, Rádio, Redes Sociais</t>
  </si>
  <si>
    <t>Vídeos Online, Tv aberta, Redes Sociais</t>
  </si>
  <si>
    <t>Vídeos Online, Videogames, Serviços de Streaming (Netflix, Amazon prime, etc), Redes Sociais</t>
  </si>
  <si>
    <t>Vídeos Online, Serviços de Streaming (Netflix, Amazon prime, etc), Rádio, Streaming de música, Prensa Online, Lives / Shows</t>
  </si>
  <si>
    <t>Vídeos Online, Tv aberta, Serviços de Streaming (Netflix, Amazon prime, etc), Streaming de música, Lives / Shows, Redes Sociais</t>
  </si>
  <si>
    <t>Vídeos Online, Tv aberta, Rádio</t>
  </si>
  <si>
    <t>Livros, Vídeos Online, Videogames, Serviços de Streaming (Netflix, Amazon prime, etc), Rádio, Streaming de música</t>
  </si>
  <si>
    <t>Vídeos Online, Serviços de Streaming (Netflix, Amazon prime, etc), Prensa Online</t>
  </si>
  <si>
    <t>Vídeos Online</t>
  </si>
  <si>
    <t>57 - 64 anos</t>
  </si>
  <si>
    <t>Boomers</t>
  </si>
  <si>
    <t>Tv aberta, Prensa Online</t>
  </si>
  <si>
    <t>Livros, Podcasts, Vídeos Online, Serviços de Streaming (Netflix, Amazon prime, etc), Streaming de música, Prensa Online, Lives / Shows, Redes Sociais</t>
  </si>
  <si>
    <t>Livros, Vídeos Online, Tv aberta, Serviços de Streaming (Netflix, Amazon prime, etc), Rádio, Streaming de música, Prensa Online, Redes Sociais</t>
  </si>
  <si>
    <t>Livros, Vídeos Online, Tv aberta, Rádio, Redes Sociais</t>
  </si>
  <si>
    <t>Vídeos Online, Videogames, Serviços de Streaming (Netflix, Amazon prime, etc), Prensa Online, Redes Sociais</t>
  </si>
  <si>
    <t>Livros, Podcasts, Vídeos Online, Tv aberta, Streaming de música, Redes Sociais</t>
  </si>
  <si>
    <t>Livros, Vídeos Online, Serviços de Streaming (Netflix, Amazon prime, etc), Rádio, Prensa física (Jornais, revistas, etc), Streaming de música, Prensa Online, Redes Sociais</t>
  </si>
  <si>
    <t>Livros, Vídeos Online, Tv aberta, Serviços de Streaming (Netflix, Amazon prime, etc), Rádio, Prensa física (Jornais, revistas, etc), Streaming de música, Prensa Online, Redes Sociais</t>
  </si>
  <si>
    <t>Livros, Tv aberta, Redes Sociais</t>
  </si>
  <si>
    <t>Tv aberta, Rádio</t>
  </si>
  <si>
    <t>Podcasts, Vídeos Online, Lives / Shows</t>
  </si>
  <si>
    <t>Livros, Podcasts, Vídeos Online, Serviços de Streaming (Netflix, Amazon prime, etc), Rádio, Prensa física (Jornais, revistas, etc), Prensa Online, Lives / Shows, Redes Sociais</t>
  </si>
  <si>
    <t>Livros, Tv aberta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</si>
</sst>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</font>
    <font>
      <b/>
      <color rgb="FFFFFFFF"/>
      <name val="Arial"/>
    </font>
    <font>
      <color rgb="FFFFFFFF"/>
      <name val="Arial"/>
    </font>
    <font>
      <color theme="1"/>
      <name val="Arial"/>
    </font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left" shrinkToFit="0" vertical="center" wrapText="1"/>
    </xf>
    <xf borderId="0" fillId="3" fontId="2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3" width="21.57"/>
    <col customWidth="1" min="4" max="4" width="43.86"/>
    <col customWidth="1" min="5" max="16" width="21.57"/>
  </cols>
  <sheetData>
    <row r="1" ht="36.75" customHeight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ht="36.75" hidden="1" customHeight="1">
      <c r="A2" s="5">
        <v>44321.99493210648</v>
      </c>
      <c r="B2" s="6" t="s">
        <v>16</v>
      </c>
      <c r="C2" s="6" t="s">
        <v>17</v>
      </c>
      <c r="D2" s="7" t="s">
        <v>18</v>
      </c>
      <c r="E2" s="8" t="str">
        <f t="shared" ref="E2:E174" si="1">IFERROR(IF(FIND("Livros",$D2,1&gt;=1),"Sim","Não"),"Não")</f>
        <v>Não</v>
      </c>
      <c r="F2" s="8" t="str">
        <f t="shared" ref="F2:F174" si="2">IFERROR(IF(FIND("casts",$D2,1&gt;=1),"Sim","Não"),"Não")</f>
        <v>Não</v>
      </c>
      <c r="G2" s="8" t="str">
        <f t="shared" ref="G2:G174" si="3">IFERROR(IF(FIND("Vídeos Online",$D2,1&gt;=1),"Sim","Não"),"Não")</f>
        <v>Sim</v>
      </c>
      <c r="H2" s="8" t="str">
        <f t="shared" ref="H2:H174" si="4">IFERROR(IF(FIND("games",$D2,1&gt;=1),"Sim","Não"),"Não")</f>
        <v>Sim</v>
      </c>
      <c r="I2" s="8" t="str">
        <f t="shared" ref="I2:I174" si="5">IFERROR(IF(FIND("Tv",$D2,1&gt;=1),"Sim","Não"),"Não")</f>
        <v>Sim</v>
      </c>
      <c r="J2" s="8" t="str">
        <f t="shared" ref="J2:J174" si="6">IFERROR(IF(FIND("Netflix",$D2,1&gt;=1),"Sim","Não"),"Não")</f>
        <v>Não</v>
      </c>
      <c r="K2" s="8" t="str">
        <f t="shared" ref="K2:K174" si="7">IFERROR(IF(FIND("Rádio",$D2,1&gt;=1),"Sim","Não"),"Não")</f>
        <v>Sim</v>
      </c>
      <c r="L2" s="8" t="str">
        <f t="shared" ref="L2:L174" si="8">IFERROR(IF(FIND("Prensa física",$D2,1&gt;=1),"Sim","Não"),"Não")</f>
        <v>Não</v>
      </c>
      <c r="M2" s="8" t="str">
        <f t="shared" ref="M2:M174" si="9">IFERROR(IF(FIND("música",$D2,1&gt;=1),"Sim","Não"),"Não")</f>
        <v>Não</v>
      </c>
      <c r="N2" s="8" t="str">
        <f t="shared" ref="N2:N174" si="10">IFERROR(IF(FIND("Prensa Online",$D2,1&gt;=1),"Sim","Não"),"Não")</f>
        <v>Sim</v>
      </c>
      <c r="O2" s="8" t="str">
        <f t="shared" ref="O2:O174" si="11">IFERROR(IF(FIND("Lives",$D2,1&gt;=1),"Sim","Não"),"Não")</f>
        <v>Não</v>
      </c>
      <c r="P2" s="8" t="str">
        <f t="shared" ref="P2:P174" si="12">IFERROR(IF(FIND("Redes",$D2,1&gt;=1),"Sim","Não"),"Não")</f>
        <v>Sim</v>
      </c>
    </row>
    <row r="3" ht="36.75" hidden="1" customHeight="1">
      <c r="A3" s="5">
        <v>44321.99688850694</v>
      </c>
      <c r="B3" s="6" t="s">
        <v>16</v>
      </c>
      <c r="C3" s="6" t="s">
        <v>17</v>
      </c>
      <c r="D3" s="7" t="s">
        <v>19</v>
      </c>
      <c r="E3" s="8" t="str">
        <f t="shared" si="1"/>
        <v>Não</v>
      </c>
      <c r="F3" s="8" t="str">
        <f t="shared" si="2"/>
        <v>Não</v>
      </c>
      <c r="G3" s="8" t="str">
        <f t="shared" si="3"/>
        <v>Não</v>
      </c>
      <c r="H3" s="8" t="str">
        <f t="shared" si="4"/>
        <v>Não</v>
      </c>
      <c r="I3" s="8" t="str">
        <f t="shared" si="5"/>
        <v>Não</v>
      </c>
      <c r="J3" s="8" t="str">
        <f t="shared" si="6"/>
        <v>Sim</v>
      </c>
      <c r="K3" s="8" t="str">
        <f t="shared" si="7"/>
        <v>Não</v>
      </c>
      <c r="L3" s="8" t="str">
        <f t="shared" si="8"/>
        <v>Não</v>
      </c>
      <c r="M3" s="8" t="str">
        <f t="shared" si="9"/>
        <v>Sim</v>
      </c>
      <c r="N3" s="8" t="str">
        <f t="shared" si="10"/>
        <v>Não</v>
      </c>
      <c r="O3" s="8" t="str">
        <f t="shared" si="11"/>
        <v>Não</v>
      </c>
      <c r="P3" s="8" t="str">
        <f t="shared" si="12"/>
        <v>Sim</v>
      </c>
    </row>
    <row r="4" ht="36.75" hidden="1" customHeight="1">
      <c r="A4" s="5">
        <v>44322.30237719907</v>
      </c>
      <c r="B4" s="6" t="s">
        <v>16</v>
      </c>
      <c r="C4" s="6" t="s">
        <v>17</v>
      </c>
      <c r="D4" s="7" t="s">
        <v>20</v>
      </c>
      <c r="E4" s="8" t="str">
        <f t="shared" si="1"/>
        <v>Sim</v>
      </c>
      <c r="F4" s="8" t="str">
        <f t="shared" si="2"/>
        <v>Não</v>
      </c>
      <c r="G4" s="8" t="str">
        <f t="shared" si="3"/>
        <v>Sim</v>
      </c>
      <c r="H4" s="8" t="str">
        <f t="shared" si="4"/>
        <v>Não</v>
      </c>
      <c r="I4" s="8" t="str">
        <f t="shared" si="5"/>
        <v>Sim</v>
      </c>
      <c r="J4" s="8" t="str">
        <f t="shared" si="6"/>
        <v>Sim</v>
      </c>
      <c r="K4" s="8" t="str">
        <f t="shared" si="7"/>
        <v>Não</v>
      </c>
      <c r="L4" s="8" t="str">
        <f t="shared" si="8"/>
        <v>Não</v>
      </c>
      <c r="M4" s="8" t="str">
        <f t="shared" si="9"/>
        <v>Não</v>
      </c>
      <c r="N4" s="8" t="str">
        <f t="shared" si="10"/>
        <v>Não</v>
      </c>
      <c r="O4" s="8" t="str">
        <f t="shared" si="11"/>
        <v>Não</v>
      </c>
      <c r="P4" s="8" t="str">
        <f t="shared" si="12"/>
        <v>Sim</v>
      </c>
    </row>
    <row r="5" ht="36.75" hidden="1" customHeight="1">
      <c r="A5" s="5">
        <v>44322.38185893519</v>
      </c>
      <c r="B5" s="6" t="s">
        <v>16</v>
      </c>
      <c r="C5" s="6" t="s">
        <v>17</v>
      </c>
      <c r="D5" s="7" t="s">
        <v>21</v>
      </c>
      <c r="E5" s="8" t="str">
        <f t="shared" si="1"/>
        <v>Sim</v>
      </c>
      <c r="F5" s="8" t="str">
        <f t="shared" si="2"/>
        <v>Não</v>
      </c>
      <c r="G5" s="8" t="str">
        <f t="shared" si="3"/>
        <v>Sim</v>
      </c>
      <c r="H5" s="8" t="str">
        <f t="shared" si="4"/>
        <v>Não</v>
      </c>
      <c r="I5" s="8" t="str">
        <f t="shared" si="5"/>
        <v>Não</v>
      </c>
      <c r="J5" s="8" t="str">
        <f t="shared" si="6"/>
        <v>Sim</v>
      </c>
      <c r="K5" s="8" t="str">
        <f t="shared" si="7"/>
        <v>Não</v>
      </c>
      <c r="L5" s="8" t="str">
        <f t="shared" si="8"/>
        <v>Não</v>
      </c>
      <c r="M5" s="8" t="str">
        <f t="shared" si="9"/>
        <v>Não</v>
      </c>
      <c r="N5" s="8" t="str">
        <f t="shared" si="10"/>
        <v>Não</v>
      </c>
      <c r="O5" s="8" t="str">
        <f t="shared" si="11"/>
        <v>Não</v>
      </c>
      <c r="P5" s="8" t="str">
        <f t="shared" si="12"/>
        <v>Sim</v>
      </c>
    </row>
    <row r="6" ht="36.75" customHeight="1">
      <c r="A6" s="5">
        <v>44322.40900909722</v>
      </c>
      <c r="B6" s="6" t="s">
        <v>16</v>
      </c>
      <c r="C6" s="6" t="s">
        <v>17</v>
      </c>
      <c r="D6" s="7" t="s">
        <v>22</v>
      </c>
      <c r="E6" s="8" t="str">
        <f t="shared" si="1"/>
        <v>Sim</v>
      </c>
      <c r="F6" s="8" t="str">
        <f t="shared" si="2"/>
        <v>Sim</v>
      </c>
      <c r="G6" s="8" t="str">
        <f t="shared" si="3"/>
        <v>Sim</v>
      </c>
      <c r="H6" s="8" t="str">
        <f t="shared" si="4"/>
        <v>Sim</v>
      </c>
      <c r="I6" s="8" t="str">
        <f t="shared" si="5"/>
        <v>Não</v>
      </c>
      <c r="J6" s="8" t="str">
        <f t="shared" si="6"/>
        <v>Sim</v>
      </c>
      <c r="K6" s="8" t="str">
        <f t="shared" si="7"/>
        <v>Sim</v>
      </c>
      <c r="L6" s="8" t="str">
        <f t="shared" si="8"/>
        <v>Não</v>
      </c>
      <c r="M6" s="8" t="str">
        <f t="shared" si="9"/>
        <v>Sim</v>
      </c>
      <c r="N6" s="8" t="str">
        <f t="shared" si="10"/>
        <v>Não</v>
      </c>
      <c r="O6" s="8" t="str">
        <f t="shared" si="11"/>
        <v>Sim</v>
      </c>
      <c r="P6" s="8" t="str">
        <f t="shared" si="12"/>
        <v>Não</v>
      </c>
    </row>
    <row r="7" ht="36.75" hidden="1" customHeight="1">
      <c r="A7" s="5">
        <v>44322.415694490744</v>
      </c>
      <c r="B7" s="6" t="s">
        <v>16</v>
      </c>
      <c r="C7" s="6" t="s">
        <v>17</v>
      </c>
      <c r="D7" s="7" t="s">
        <v>23</v>
      </c>
      <c r="E7" s="8" t="str">
        <f t="shared" si="1"/>
        <v>Sim</v>
      </c>
      <c r="F7" s="8" t="str">
        <f t="shared" si="2"/>
        <v>Sim</v>
      </c>
      <c r="G7" s="8" t="str">
        <f t="shared" si="3"/>
        <v>Sim</v>
      </c>
      <c r="H7" s="8" t="str">
        <f t="shared" si="4"/>
        <v>Não</v>
      </c>
      <c r="I7" s="8" t="str">
        <f t="shared" si="5"/>
        <v>Não</v>
      </c>
      <c r="J7" s="8" t="str">
        <f t="shared" si="6"/>
        <v>Sim</v>
      </c>
      <c r="K7" s="8" t="str">
        <f t="shared" si="7"/>
        <v>Não</v>
      </c>
      <c r="L7" s="8" t="str">
        <f t="shared" si="8"/>
        <v>Não</v>
      </c>
      <c r="M7" s="8" t="str">
        <f t="shared" si="9"/>
        <v>Sim</v>
      </c>
      <c r="N7" s="8" t="str">
        <f t="shared" si="10"/>
        <v>Não</v>
      </c>
      <c r="O7" s="8" t="str">
        <f t="shared" si="11"/>
        <v>Não</v>
      </c>
      <c r="P7" s="8" t="str">
        <f t="shared" si="12"/>
        <v>Sim</v>
      </c>
    </row>
    <row r="8" ht="36.75" customHeight="1">
      <c r="A8" s="5">
        <v>44322.42833138889</v>
      </c>
      <c r="B8" s="6" t="s">
        <v>16</v>
      </c>
      <c r="C8" s="6" t="s">
        <v>17</v>
      </c>
      <c r="D8" s="7" t="s">
        <v>24</v>
      </c>
      <c r="E8" s="8" t="str">
        <f t="shared" si="1"/>
        <v>Não</v>
      </c>
      <c r="F8" s="8" t="str">
        <f t="shared" si="2"/>
        <v>Não</v>
      </c>
      <c r="G8" s="8" t="str">
        <f t="shared" si="3"/>
        <v>Sim</v>
      </c>
      <c r="H8" s="8" t="str">
        <f t="shared" si="4"/>
        <v>Sim</v>
      </c>
      <c r="I8" s="8" t="str">
        <f t="shared" si="5"/>
        <v>Não</v>
      </c>
      <c r="J8" s="8" t="str">
        <f t="shared" si="6"/>
        <v>Sim</v>
      </c>
      <c r="K8" s="8" t="str">
        <f t="shared" si="7"/>
        <v>Não</v>
      </c>
      <c r="L8" s="8" t="str">
        <f t="shared" si="8"/>
        <v>Não</v>
      </c>
      <c r="M8" s="8" t="str">
        <f t="shared" si="9"/>
        <v>Sim</v>
      </c>
      <c r="N8" s="8" t="str">
        <f t="shared" si="10"/>
        <v>Não</v>
      </c>
      <c r="O8" s="8" t="str">
        <f t="shared" si="11"/>
        <v>Sim</v>
      </c>
      <c r="P8" s="8" t="str">
        <f t="shared" si="12"/>
        <v>Sim</v>
      </c>
    </row>
    <row r="9" ht="36.75" customHeight="1">
      <c r="A9" s="5">
        <v>44322.433338206014</v>
      </c>
      <c r="B9" s="6" t="s">
        <v>16</v>
      </c>
      <c r="C9" s="6" t="s">
        <v>17</v>
      </c>
      <c r="D9" s="7" t="s">
        <v>25</v>
      </c>
      <c r="E9" s="8" t="str">
        <f t="shared" si="1"/>
        <v>Sim</v>
      </c>
      <c r="F9" s="8" t="str">
        <f t="shared" si="2"/>
        <v>Sim</v>
      </c>
      <c r="G9" s="8" t="str">
        <f t="shared" si="3"/>
        <v>Sim</v>
      </c>
      <c r="H9" s="8" t="str">
        <f t="shared" si="4"/>
        <v>Sim</v>
      </c>
      <c r="I9" s="8" t="str">
        <f t="shared" si="5"/>
        <v>Não</v>
      </c>
      <c r="J9" s="8" t="str">
        <f t="shared" si="6"/>
        <v>Sim</v>
      </c>
      <c r="K9" s="8" t="str">
        <f t="shared" si="7"/>
        <v>Não</v>
      </c>
      <c r="L9" s="8" t="str">
        <f t="shared" si="8"/>
        <v>Não</v>
      </c>
      <c r="M9" s="8" t="str">
        <f t="shared" si="9"/>
        <v>Sim</v>
      </c>
      <c r="N9" s="8" t="str">
        <f t="shared" si="10"/>
        <v>Sim</v>
      </c>
      <c r="O9" s="8" t="str">
        <f t="shared" si="11"/>
        <v>Sim</v>
      </c>
      <c r="P9" s="8" t="str">
        <f t="shared" si="12"/>
        <v>Sim</v>
      </c>
    </row>
    <row r="10" ht="36.75" hidden="1" customHeight="1">
      <c r="A10" s="5">
        <v>44322.434988877314</v>
      </c>
      <c r="B10" s="6" t="s">
        <v>16</v>
      </c>
      <c r="C10" s="6" t="s">
        <v>17</v>
      </c>
      <c r="D10" s="7" t="s">
        <v>26</v>
      </c>
      <c r="E10" s="8" t="str">
        <f t="shared" si="1"/>
        <v>Sim</v>
      </c>
      <c r="F10" s="8" t="str">
        <f t="shared" si="2"/>
        <v>Sim</v>
      </c>
      <c r="G10" s="8" t="str">
        <f t="shared" si="3"/>
        <v>Sim</v>
      </c>
      <c r="H10" s="8" t="str">
        <f t="shared" si="4"/>
        <v>Não</v>
      </c>
      <c r="I10" s="8" t="str">
        <f t="shared" si="5"/>
        <v>Não</v>
      </c>
      <c r="J10" s="8" t="str">
        <f t="shared" si="6"/>
        <v>Sim</v>
      </c>
      <c r="K10" s="8" t="str">
        <f t="shared" si="7"/>
        <v>Não</v>
      </c>
      <c r="L10" s="8" t="str">
        <f t="shared" si="8"/>
        <v>Não</v>
      </c>
      <c r="M10" s="8" t="str">
        <f t="shared" si="9"/>
        <v>Sim</v>
      </c>
      <c r="N10" s="8" t="str">
        <f t="shared" si="10"/>
        <v>Não</v>
      </c>
      <c r="O10" s="8" t="str">
        <f t="shared" si="11"/>
        <v>Não</v>
      </c>
      <c r="P10" s="8" t="str">
        <f t="shared" si="12"/>
        <v>Sim</v>
      </c>
    </row>
    <row r="11" ht="36.75" customHeight="1">
      <c r="A11" s="5">
        <v>44322.435528518516</v>
      </c>
      <c r="B11" s="6" t="s">
        <v>16</v>
      </c>
      <c r="C11" s="6" t="s">
        <v>17</v>
      </c>
      <c r="D11" s="7" t="s">
        <v>27</v>
      </c>
      <c r="E11" s="8" t="str">
        <f t="shared" si="1"/>
        <v>Sim</v>
      </c>
      <c r="F11" s="8" t="str">
        <f t="shared" si="2"/>
        <v>Não</v>
      </c>
      <c r="G11" s="8" t="str">
        <f t="shared" si="3"/>
        <v>Sim</v>
      </c>
      <c r="H11" s="8" t="str">
        <f t="shared" si="4"/>
        <v>Sim</v>
      </c>
      <c r="I11" s="8" t="str">
        <f t="shared" si="5"/>
        <v>Sim</v>
      </c>
      <c r="J11" s="8" t="str">
        <f t="shared" si="6"/>
        <v>Sim</v>
      </c>
      <c r="K11" s="8" t="str">
        <f t="shared" si="7"/>
        <v>Não</v>
      </c>
      <c r="L11" s="8" t="str">
        <f t="shared" si="8"/>
        <v>Não</v>
      </c>
      <c r="M11" s="8" t="str">
        <f t="shared" si="9"/>
        <v>Não</v>
      </c>
      <c r="N11" s="8" t="str">
        <f t="shared" si="10"/>
        <v>Não</v>
      </c>
      <c r="O11" s="8" t="str">
        <f t="shared" si="11"/>
        <v>Sim</v>
      </c>
      <c r="P11" s="8" t="str">
        <f t="shared" si="12"/>
        <v>Sim</v>
      </c>
    </row>
    <row r="12" ht="36.75" customHeight="1">
      <c r="A12" s="5">
        <v>44322.438663761575</v>
      </c>
      <c r="B12" s="6" t="s">
        <v>16</v>
      </c>
      <c r="C12" s="6" t="s">
        <v>17</v>
      </c>
      <c r="D12" s="7" t="s">
        <v>28</v>
      </c>
      <c r="E12" s="8" t="str">
        <f t="shared" si="1"/>
        <v>Não</v>
      </c>
      <c r="F12" s="8" t="str">
        <f t="shared" si="2"/>
        <v>Não</v>
      </c>
      <c r="G12" s="8" t="str">
        <f t="shared" si="3"/>
        <v>Sim</v>
      </c>
      <c r="H12" s="8" t="str">
        <f t="shared" si="4"/>
        <v>Sim</v>
      </c>
      <c r="I12" s="8" t="str">
        <f t="shared" si="5"/>
        <v>Não</v>
      </c>
      <c r="J12" s="8" t="str">
        <f t="shared" si="6"/>
        <v>Não</v>
      </c>
      <c r="K12" s="8" t="str">
        <f t="shared" si="7"/>
        <v>Não</v>
      </c>
      <c r="L12" s="8" t="str">
        <f t="shared" si="8"/>
        <v>Não</v>
      </c>
      <c r="M12" s="8" t="str">
        <f t="shared" si="9"/>
        <v>Sim</v>
      </c>
      <c r="N12" s="8" t="str">
        <f t="shared" si="10"/>
        <v>Não</v>
      </c>
      <c r="O12" s="8" t="str">
        <f t="shared" si="11"/>
        <v>Sim</v>
      </c>
      <c r="P12" s="8" t="str">
        <f t="shared" si="12"/>
        <v>Sim</v>
      </c>
    </row>
    <row r="13" ht="36.75" customHeight="1">
      <c r="A13" s="5">
        <v>44322.43878334491</v>
      </c>
      <c r="B13" s="6" t="s">
        <v>16</v>
      </c>
      <c r="C13" s="6" t="s">
        <v>17</v>
      </c>
      <c r="D13" s="7" t="s">
        <v>29</v>
      </c>
      <c r="E13" s="8" t="str">
        <f t="shared" si="1"/>
        <v>Não</v>
      </c>
      <c r="F13" s="8" t="str">
        <f t="shared" si="2"/>
        <v>Não</v>
      </c>
      <c r="G13" s="8" t="str">
        <f t="shared" si="3"/>
        <v>Sim</v>
      </c>
      <c r="H13" s="8" t="str">
        <f t="shared" si="4"/>
        <v>Sim</v>
      </c>
      <c r="I13" s="8" t="str">
        <f t="shared" si="5"/>
        <v>Sim</v>
      </c>
      <c r="J13" s="8" t="str">
        <f t="shared" si="6"/>
        <v>Sim</v>
      </c>
      <c r="K13" s="8" t="str">
        <f t="shared" si="7"/>
        <v>Não</v>
      </c>
      <c r="L13" s="8" t="str">
        <f t="shared" si="8"/>
        <v>Não</v>
      </c>
      <c r="M13" s="8" t="str">
        <f t="shared" si="9"/>
        <v>Sim</v>
      </c>
      <c r="N13" s="8" t="str">
        <f t="shared" si="10"/>
        <v>Não</v>
      </c>
      <c r="O13" s="8" t="str">
        <f t="shared" si="11"/>
        <v>Sim</v>
      </c>
      <c r="P13" s="8" t="str">
        <f t="shared" si="12"/>
        <v>Sim</v>
      </c>
    </row>
    <row r="14" ht="36.75" customHeight="1">
      <c r="A14" s="5">
        <v>44322.44482837963</v>
      </c>
      <c r="B14" s="6" t="s">
        <v>16</v>
      </c>
      <c r="C14" s="6" t="s">
        <v>17</v>
      </c>
      <c r="D14" s="7" t="s">
        <v>30</v>
      </c>
      <c r="E14" s="8" t="str">
        <f t="shared" si="1"/>
        <v>Sim</v>
      </c>
      <c r="F14" s="8" t="str">
        <f t="shared" si="2"/>
        <v>Sim</v>
      </c>
      <c r="G14" s="8" t="str">
        <f t="shared" si="3"/>
        <v>Sim</v>
      </c>
      <c r="H14" s="8" t="str">
        <f t="shared" si="4"/>
        <v>Sim</v>
      </c>
      <c r="I14" s="8" t="str">
        <f t="shared" si="5"/>
        <v>Não</v>
      </c>
      <c r="J14" s="8" t="str">
        <f t="shared" si="6"/>
        <v>Sim</v>
      </c>
      <c r="K14" s="8" t="str">
        <f t="shared" si="7"/>
        <v>Não</v>
      </c>
      <c r="L14" s="8" t="str">
        <f t="shared" si="8"/>
        <v>Não</v>
      </c>
      <c r="M14" s="8" t="str">
        <f t="shared" si="9"/>
        <v>Sim</v>
      </c>
      <c r="N14" s="8" t="str">
        <f t="shared" si="10"/>
        <v>Não</v>
      </c>
      <c r="O14" s="8" t="str">
        <f t="shared" si="11"/>
        <v>Sim</v>
      </c>
      <c r="P14" s="8" t="str">
        <f t="shared" si="12"/>
        <v>Sim</v>
      </c>
    </row>
    <row r="15" ht="36.75" hidden="1" customHeight="1">
      <c r="A15" s="5">
        <v>44322.493378541665</v>
      </c>
      <c r="B15" s="6" t="s">
        <v>16</v>
      </c>
      <c r="C15" s="6" t="s">
        <v>17</v>
      </c>
      <c r="D15" s="7" t="s">
        <v>31</v>
      </c>
      <c r="E15" s="8" t="str">
        <f t="shared" si="1"/>
        <v>Sim</v>
      </c>
      <c r="F15" s="8" t="str">
        <f t="shared" si="2"/>
        <v>Sim</v>
      </c>
      <c r="G15" s="8" t="str">
        <f t="shared" si="3"/>
        <v>Sim</v>
      </c>
      <c r="H15" s="8" t="str">
        <f t="shared" si="4"/>
        <v>Não</v>
      </c>
      <c r="I15" s="8" t="str">
        <f t="shared" si="5"/>
        <v>Não</v>
      </c>
      <c r="J15" s="8" t="str">
        <f t="shared" si="6"/>
        <v>Sim</v>
      </c>
      <c r="K15" s="8" t="str">
        <f t="shared" si="7"/>
        <v>Não</v>
      </c>
      <c r="L15" s="8" t="str">
        <f t="shared" si="8"/>
        <v>Não</v>
      </c>
      <c r="M15" s="8" t="str">
        <f t="shared" si="9"/>
        <v>Não</v>
      </c>
      <c r="N15" s="8" t="str">
        <f t="shared" si="10"/>
        <v>Não</v>
      </c>
      <c r="O15" s="8" t="str">
        <f t="shared" si="11"/>
        <v>Não</v>
      </c>
      <c r="P15" s="8" t="str">
        <f t="shared" si="12"/>
        <v>Sim</v>
      </c>
    </row>
    <row r="16" ht="36.75" customHeight="1">
      <c r="A16" s="5">
        <v>44322.537350011575</v>
      </c>
      <c r="B16" s="6" t="s">
        <v>16</v>
      </c>
      <c r="C16" s="6" t="s">
        <v>17</v>
      </c>
      <c r="D16" s="7" t="s">
        <v>25</v>
      </c>
      <c r="E16" s="8" t="str">
        <f t="shared" si="1"/>
        <v>Sim</v>
      </c>
      <c r="F16" s="8" t="str">
        <f t="shared" si="2"/>
        <v>Sim</v>
      </c>
      <c r="G16" s="8" t="str">
        <f t="shared" si="3"/>
        <v>Sim</v>
      </c>
      <c r="H16" s="8" t="str">
        <f t="shared" si="4"/>
        <v>Sim</v>
      </c>
      <c r="I16" s="8" t="str">
        <f t="shared" si="5"/>
        <v>Não</v>
      </c>
      <c r="J16" s="8" t="str">
        <f t="shared" si="6"/>
        <v>Sim</v>
      </c>
      <c r="K16" s="8" t="str">
        <f t="shared" si="7"/>
        <v>Não</v>
      </c>
      <c r="L16" s="8" t="str">
        <f t="shared" si="8"/>
        <v>Não</v>
      </c>
      <c r="M16" s="8" t="str">
        <f t="shared" si="9"/>
        <v>Sim</v>
      </c>
      <c r="N16" s="8" t="str">
        <f t="shared" si="10"/>
        <v>Sim</v>
      </c>
      <c r="O16" s="8" t="str">
        <f t="shared" si="11"/>
        <v>Sim</v>
      </c>
      <c r="P16" s="8" t="str">
        <f t="shared" si="12"/>
        <v>Sim</v>
      </c>
    </row>
    <row r="17" ht="36.75" hidden="1" customHeight="1">
      <c r="A17" s="5">
        <v>44322.561686180554</v>
      </c>
      <c r="B17" s="6" t="s">
        <v>16</v>
      </c>
      <c r="C17" s="6" t="s">
        <v>17</v>
      </c>
      <c r="D17" s="7" t="s">
        <v>32</v>
      </c>
      <c r="E17" s="8" t="str">
        <f t="shared" si="1"/>
        <v>Sim</v>
      </c>
      <c r="F17" s="8" t="str">
        <f t="shared" si="2"/>
        <v>Não</v>
      </c>
      <c r="G17" s="8" t="str">
        <f t="shared" si="3"/>
        <v>Sim</v>
      </c>
      <c r="H17" s="8" t="str">
        <f t="shared" si="4"/>
        <v>Não</v>
      </c>
      <c r="I17" s="8" t="str">
        <f t="shared" si="5"/>
        <v>Não</v>
      </c>
      <c r="J17" s="8" t="str">
        <f t="shared" si="6"/>
        <v>Sim</v>
      </c>
      <c r="K17" s="8" t="str">
        <f t="shared" si="7"/>
        <v>Sim</v>
      </c>
      <c r="L17" s="8" t="str">
        <f t="shared" si="8"/>
        <v>Não</v>
      </c>
      <c r="M17" s="8" t="str">
        <f t="shared" si="9"/>
        <v>Sim</v>
      </c>
      <c r="N17" s="8" t="str">
        <f t="shared" si="10"/>
        <v>Sim</v>
      </c>
      <c r="O17" s="8" t="str">
        <f t="shared" si="11"/>
        <v>Não</v>
      </c>
      <c r="P17" s="8" t="str">
        <f t="shared" si="12"/>
        <v>Não</v>
      </c>
    </row>
    <row r="18" ht="36.75" customHeight="1">
      <c r="A18" s="5">
        <v>44322.567240543984</v>
      </c>
      <c r="B18" s="6" t="s">
        <v>16</v>
      </c>
      <c r="C18" s="6" t="s">
        <v>17</v>
      </c>
      <c r="D18" s="7" t="s">
        <v>33</v>
      </c>
      <c r="E18" s="8" t="str">
        <f t="shared" si="1"/>
        <v>Não</v>
      </c>
      <c r="F18" s="8" t="str">
        <f t="shared" si="2"/>
        <v>Sim</v>
      </c>
      <c r="G18" s="8" t="str">
        <f t="shared" si="3"/>
        <v>Sim</v>
      </c>
      <c r="H18" s="8" t="str">
        <f t="shared" si="4"/>
        <v>Sim</v>
      </c>
      <c r="I18" s="8" t="str">
        <f t="shared" si="5"/>
        <v>Não</v>
      </c>
      <c r="J18" s="8" t="str">
        <f t="shared" si="6"/>
        <v>Sim</v>
      </c>
      <c r="K18" s="8" t="str">
        <f t="shared" si="7"/>
        <v>Não</v>
      </c>
      <c r="L18" s="8" t="str">
        <f t="shared" si="8"/>
        <v>Não</v>
      </c>
      <c r="M18" s="8" t="str">
        <f t="shared" si="9"/>
        <v>Sim</v>
      </c>
      <c r="N18" s="8" t="str">
        <f t="shared" si="10"/>
        <v>Não</v>
      </c>
      <c r="O18" s="8" t="str">
        <f t="shared" si="11"/>
        <v>Sim</v>
      </c>
      <c r="P18" s="8" t="str">
        <f t="shared" si="12"/>
        <v>Sim</v>
      </c>
    </row>
    <row r="19" ht="36.75" hidden="1" customHeight="1">
      <c r="A19" s="5">
        <v>44322.74302627315</v>
      </c>
      <c r="B19" s="6" t="s">
        <v>16</v>
      </c>
      <c r="C19" s="6" t="s">
        <v>17</v>
      </c>
      <c r="D19" s="7" t="s">
        <v>34</v>
      </c>
      <c r="E19" s="8" t="str">
        <f t="shared" si="1"/>
        <v>Não</v>
      </c>
      <c r="F19" s="8" t="str">
        <f t="shared" si="2"/>
        <v>Sim</v>
      </c>
      <c r="G19" s="8" t="str">
        <f t="shared" si="3"/>
        <v>Sim</v>
      </c>
      <c r="H19" s="8" t="str">
        <f t="shared" si="4"/>
        <v>Sim</v>
      </c>
      <c r="I19" s="8" t="str">
        <f t="shared" si="5"/>
        <v>Não</v>
      </c>
      <c r="J19" s="8" t="str">
        <f t="shared" si="6"/>
        <v>Não</v>
      </c>
      <c r="K19" s="8" t="str">
        <f t="shared" si="7"/>
        <v>Não</v>
      </c>
      <c r="L19" s="8" t="str">
        <f t="shared" si="8"/>
        <v>Não</v>
      </c>
      <c r="M19" s="8" t="str">
        <f t="shared" si="9"/>
        <v>Sim</v>
      </c>
      <c r="N19" s="8" t="str">
        <f t="shared" si="10"/>
        <v>Não</v>
      </c>
      <c r="O19" s="8" t="str">
        <f t="shared" si="11"/>
        <v>Não</v>
      </c>
      <c r="P19" s="8" t="str">
        <f t="shared" si="12"/>
        <v>Sim</v>
      </c>
    </row>
    <row r="20" ht="36.75" hidden="1" customHeight="1">
      <c r="A20" s="5">
        <v>44322.789790995375</v>
      </c>
      <c r="B20" s="6" t="s">
        <v>16</v>
      </c>
      <c r="C20" s="6" t="s">
        <v>17</v>
      </c>
      <c r="D20" s="7" t="s">
        <v>35</v>
      </c>
      <c r="E20" s="8" t="str">
        <f t="shared" si="1"/>
        <v>Não</v>
      </c>
      <c r="F20" s="8" t="str">
        <f t="shared" si="2"/>
        <v>Não</v>
      </c>
      <c r="G20" s="8" t="str">
        <f t="shared" si="3"/>
        <v>Sim</v>
      </c>
      <c r="H20" s="8" t="str">
        <f t="shared" si="4"/>
        <v>Sim</v>
      </c>
      <c r="I20" s="8" t="str">
        <f t="shared" si="5"/>
        <v>Não</v>
      </c>
      <c r="J20" s="8" t="str">
        <f t="shared" si="6"/>
        <v>Não</v>
      </c>
      <c r="K20" s="8" t="str">
        <f t="shared" si="7"/>
        <v>Não</v>
      </c>
      <c r="L20" s="8" t="str">
        <f t="shared" si="8"/>
        <v>Não</v>
      </c>
      <c r="M20" s="8" t="str">
        <f t="shared" si="9"/>
        <v>Não</v>
      </c>
      <c r="N20" s="8" t="str">
        <f t="shared" si="10"/>
        <v>Não</v>
      </c>
      <c r="O20" s="8" t="str">
        <f t="shared" si="11"/>
        <v>Não</v>
      </c>
      <c r="P20" s="8" t="str">
        <f t="shared" si="12"/>
        <v>Sim</v>
      </c>
    </row>
    <row r="21" ht="36.75" customHeight="1">
      <c r="A21" s="5">
        <v>44322.928965370374</v>
      </c>
      <c r="B21" s="6" t="s">
        <v>16</v>
      </c>
      <c r="C21" s="6" t="s">
        <v>17</v>
      </c>
      <c r="D21" s="7" t="s">
        <v>36</v>
      </c>
      <c r="E21" s="8" t="str">
        <f t="shared" si="1"/>
        <v>Não</v>
      </c>
      <c r="F21" s="8" t="str">
        <f t="shared" si="2"/>
        <v>Não</v>
      </c>
      <c r="G21" s="8" t="str">
        <f t="shared" si="3"/>
        <v>Sim</v>
      </c>
      <c r="H21" s="8" t="str">
        <f t="shared" si="4"/>
        <v>Não</v>
      </c>
      <c r="I21" s="8" t="str">
        <f t="shared" si="5"/>
        <v>Sim</v>
      </c>
      <c r="J21" s="8" t="str">
        <f t="shared" si="6"/>
        <v>Sim</v>
      </c>
      <c r="K21" s="8" t="str">
        <f t="shared" si="7"/>
        <v>Sim</v>
      </c>
      <c r="L21" s="8" t="str">
        <f t="shared" si="8"/>
        <v>Não</v>
      </c>
      <c r="M21" s="8" t="str">
        <f t="shared" si="9"/>
        <v>Sim</v>
      </c>
      <c r="N21" s="8" t="str">
        <f t="shared" si="10"/>
        <v>Sim</v>
      </c>
      <c r="O21" s="8" t="str">
        <f t="shared" si="11"/>
        <v>Sim</v>
      </c>
      <c r="P21" s="8" t="str">
        <f t="shared" si="12"/>
        <v>Sim</v>
      </c>
    </row>
    <row r="22" ht="36.75" customHeight="1">
      <c r="A22" s="5">
        <v>44321.986743587964</v>
      </c>
      <c r="B22" s="6" t="s">
        <v>37</v>
      </c>
      <c r="C22" s="6" t="s">
        <v>38</v>
      </c>
      <c r="D22" s="7" t="s">
        <v>39</v>
      </c>
      <c r="E22" s="8" t="str">
        <f t="shared" si="1"/>
        <v>Sim</v>
      </c>
      <c r="F22" s="8" t="str">
        <f t="shared" si="2"/>
        <v>Sim</v>
      </c>
      <c r="G22" s="8" t="str">
        <f t="shared" si="3"/>
        <v>Sim</v>
      </c>
      <c r="H22" s="8" t="str">
        <f t="shared" si="4"/>
        <v>Não</v>
      </c>
      <c r="I22" s="8" t="str">
        <f t="shared" si="5"/>
        <v>Sim</v>
      </c>
      <c r="J22" s="8" t="str">
        <f t="shared" si="6"/>
        <v>Sim</v>
      </c>
      <c r="K22" s="8" t="str">
        <f t="shared" si="7"/>
        <v>Não</v>
      </c>
      <c r="L22" s="8" t="str">
        <f t="shared" si="8"/>
        <v>Não</v>
      </c>
      <c r="M22" s="8" t="str">
        <f t="shared" si="9"/>
        <v>Sim</v>
      </c>
      <c r="N22" s="8" t="str">
        <f t="shared" si="10"/>
        <v>Sim</v>
      </c>
      <c r="O22" s="8" t="str">
        <f t="shared" si="11"/>
        <v>Sim</v>
      </c>
      <c r="P22" s="8" t="str">
        <f t="shared" si="12"/>
        <v>Sim</v>
      </c>
    </row>
    <row r="23" ht="36.75" customHeight="1">
      <c r="A23" s="5">
        <v>44321.9873634838</v>
      </c>
      <c r="B23" s="6" t="s">
        <v>37</v>
      </c>
      <c r="C23" s="6" t="s">
        <v>38</v>
      </c>
      <c r="D23" s="7" t="s">
        <v>40</v>
      </c>
      <c r="E23" s="8" t="str">
        <f t="shared" si="1"/>
        <v>Sim</v>
      </c>
      <c r="F23" s="8" t="str">
        <f t="shared" si="2"/>
        <v>Não</v>
      </c>
      <c r="G23" s="8" t="str">
        <f t="shared" si="3"/>
        <v>Sim</v>
      </c>
      <c r="H23" s="8" t="str">
        <f t="shared" si="4"/>
        <v>Não</v>
      </c>
      <c r="I23" s="8" t="str">
        <f t="shared" si="5"/>
        <v>Sim</v>
      </c>
      <c r="J23" s="8" t="str">
        <f t="shared" si="6"/>
        <v>Sim</v>
      </c>
      <c r="K23" s="8" t="str">
        <f t="shared" si="7"/>
        <v>Não</v>
      </c>
      <c r="L23" s="8" t="str">
        <f t="shared" si="8"/>
        <v>Não</v>
      </c>
      <c r="M23" s="8" t="str">
        <f t="shared" si="9"/>
        <v>Não</v>
      </c>
      <c r="N23" s="8" t="str">
        <f t="shared" si="10"/>
        <v>Sim</v>
      </c>
      <c r="O23" s="8" t="str">
        <f t="shared" si="11"/>
        <v>Sim</v>
      </c>
      <c r="P23" s="8" t="str">
        <f t="shared" si="12"/>
        <v>Sim</v>
      </c>
    </row>
    <row r="24" ht="36.75" customHeight="1">
      <c r="A24" s="5">
        <v>44321.99023064815</v>
      </c>
      <c r="B24" s="6" t="s">
        <v>37</v>
      </c>
      <c r="C24" s="6" t="s">
        <v>38</v>
      </c>
      <c r="D24" s="7" t="s">
        <v>41</v>
      </c>
      <c r="E24" s="8" t="str">
        <f t="shared" si="1"/>
        <v>Não</v>
      </c>
      <c r="F24" s="8" t="str">
        <f t="shared" si="2"/>
        <v>Não</v>
      </c>
      <c r="G24" s="8" t="str">
        <f t="shared" si="3"/>
        <v>Não</v>
      </c>
      <c r="H24" s="8" t="str">
        <f t="shared" si="4"/>
        <v>Não</v>
      </c>
      <c r="I24" s="8" t="str">
        <f t="shared" si="5"/>
        <v>Sim</v>
      </c>
      <c r="J24" s="8" t="str">
        <f t="shared" si="6"/>
        <v>Sim</v>
      </c>
      <c r="K24" s="8" t="str">
        <f t="shared" si="7"/>
        <v>Não</v>
      </c>
      <c r="L24" s="8" t="str">
        <f t="shared" si="8"/>
        <v>Não</v>
      </c>
      <c r="M24" s="8" t="str">
        <f t="shared" si="9"/>
        <v>Sim</v>
      </c>
      <c r="N24" s="8" t="str">
        <f t="shared" si="10"/>
        <v>Não</v>
      </c>
      <c r="O24" s="8" t="str">
        <f t="shared" si="11"/>
        <v>Sim</v>
      </c>
      <c r="P24" s="8" t="str">
        <f t="shared" si="12"/>
        <v>Sim</v>
      </c>
    </row>
    <row r="25" ht="36.75" customHeight="1">
      <c r="A25" s="5">
        <v>44321.99549798611</v>
      </c>
      <c r="B25" s="6" t="s">
        <v>37</v>
      </c>
      <c r="C25" s="6" t="s">
        <v>38</v>
      </c>
      <c r="D25" s="7" t="s">
        <v>42</v>
      </c>
      <c r="E25" s="8" t="str">
        <f t="shared" si="1"/>
        <v>Sim</v>
      </c>
      <c r="F25" s="8" t="str">
        <f t="shared" si="2"/>
        <v>Sim</v>
      </c>
      <c r="G25" s="8" t="str">
        <f t="shared" si="3"/>
        <v>Sim</v>
      </c>
      <c r="H25" s="8" t="str">
        <f t="shared" si="4"/>
        <v>Sim</v>
      </c>
      <c r="I25" s="8" t="str">
        <f t="shared" si="5"/>
        <v>Sim</v>
      </c>
      <c r="J25" s="8" t="str">
        <f t="shared" si="6"/>
        <v>Sim</v>
      </c>
      <c r="K25" s="8" t="str">
        <f t="shared" si="7"/>
        <v>Não</v>
      </c>
      <c r="L25" s="8" t="str">
        <f t="shared" si="8"/>
        <v>Não</v>
      </c>
      <c r="M25" s="8" t="str">
        <f t="shared" si="9"/>
        <v>Sim</v>
      </c>
      <c r="N25" s="8" t="str">
        <f t="shared" si="10"/>
        <v>Sim</v>
      </c>
      <c r="O25" s="8" t="str">
        <f t="shared" si="11"/>
        <v>Sim</v>
      </c>
      <c r="P25" s="8" t="str">
        <f t="shared" si="12"/>
        <v>Sim</v>
      </c>
    </row>
    <row r="26" ht="36.75" hidden="1" customHeight="1">
      <c r="A26" s="5">
        <v>44322.00345979167</v>
      </c>
      <c r="B26" s="6" t="s">
        <v>37</v>
      </c>
      <c r="C26" s="6" t="s">
        <v>38</v>
      </c>
      <c r="D26" s="7" t="s">
        <v>43</v>
      </c>
      <c r="E26" s="8" t="str">
        <f t="shared" si="1"/>
        <v>Não</v>
      </c>
      <c r="F26" s="8" t="str">
        <f t="shared" si="2"/>
        <v>Não</v>
      </c>
      <c r="G26" s="8" t="str">
        <f t="shared" si="3"/>
        <v>Sim</v>
      </c>
      <c r="H26" s="8" t="str">
        <f t="shared" si="4"/>
        <v>Não</v>
      </c>
      <c r="I26" s="8" t="str">
        <f t="shared" si="5"/>
        <v>Sim</v>
      </c>
      <c r="J26" s="8" t="str">
        <f t="shared" si="6"/>
        <v>Sim</v>
      </c>
      <c r="K26" s="8" t="str">
        <f t="shared" si="7"/>
        <v>Sim</v>
      </c>
      <c r="L26" s="8" t="str">
        <f t="shared" si="8"/>
        <v>Não</v>
      </c>
      <c r="M26" s="8" t="str">
        <f t="shared" si="9"/>
        <v>Não</v>
      </c>
      <c r="N26" s="8" t="str">
        <f t="shared" si="10"/>
        <v>Não</v>
      </c>
      <c r="O26" s="8" t="str">
        <f t="shared" si="11"/>
        <v>Não</v>
      </c>
      <c r="P26" s="8" t="str">
        <f t="shared" si="12"/>
        <v>Sim</v>
      </c>
    </row>
    <row r="27" ht="36.75" hidden="1" customHeight="1">
      <c r="A27" s="5">
        <v>44322.2074027662</v>
      </c>
      <c r="B27" s="6" t="s">
        <v>37</v>
      </c>
      <c r="C27" s="6" t="s">
        <v>38</v>
      </c>
      <c r="D27" s="7" t="s">
        <v>44</v>
      </c>
      <c r="E27" s="8" t="str">
        <f t="shared" si="1"/>
        <v>Sim</v>
      </c>
      <c r="F27" s="8" t="str">
        <f t="shared" si="2"/>
        <v>Sim</v>
      </c>
      <c r="G27" s="8" t="str">
        <f t="shared" si="3"/>
        <v>Sim</v>
      </c>
      <c r="H27" s="8" t="str">
        <f t="shared" si="4"/>
        <v>Não</v>
      </c>
      <c r="I27" s="8" t="str">
        <f t="shared" si="5"/>
        <v>Não</v>
      </c>
      <c r="J27" s="8" t="str">
        <f t="shared" si="6"/>
        <v>Sim</v>
      </c>
      <c r="K27" s="8" t="str">
        <f t="shared" si="7"/>
        <v>Não</v>
      </c>
      <c r="L27" s="8" t="str">
        <f t="shared" si="8"/>
        <v>Não</v>
      </c>
      <c r="M27" s="8" t="str">
        <f t="shared" si="9"/>
        <v>Não</v>
      </c>
      <c r="N27" s="8" t="str">
        <f t="shared" si="10"/>
        <v>Não</v>
      </c>
      <c r="O27" s="8" t="str">
        <f t="shared" si="11"/>
        <v>Não</v>
      </c>
      <c r="P27" s="8" t="str">
        <f t="shared" si="12"/>
        <v>Sim</v>
      </c>
    </row>
    <row r="28" ht="36.75" hidden="1" customHeight="1">
      <c r="A28" s="5">
        <v>44322.322898865736</v>
      </c>
      <c r="B28" s="6" t="s">
        <v>37</v>
      </c>
      <c r="C28" s="6" t="s">
        <v>38</v>
      </c>
      <c r="D28" s="7" t="s">
        <v>45</v>
      </c>
      <c r="E28" s="8" t="str">
        <f t="shared" si="1"/>
        <v>Sim</v>
      </c>
      <c r="F28" s="8" t="str">
        <f t="shared" si="2"/>
        <v>Sim</v>
      </c>
      <c r="G28" s="8" t="str">
        <f t="shared" si="3"/>
        <v>Não</v>
      </c>
      <c r="H28" s="8" t="str">
        <f t="shared" si="4"/>
        <v>Não</v>
      </c>
      <c r="I28" s="8" t="str">
        <f t="shared" si="5"/>
        <v>Sim</v>
      </c>
      <c r="J28" s="8" t="str">
        <f t="shared" si="6"/>
        <v>Sim</v>
      </c>
      <c r="K28" s="8" t="str">
        <f t="shared" si="7"/>
        <v>Não</v>
      </c>
      <c r="L28" s="8" t="str">
        <f t="shared" si="8"/>
        <v>Não</v>
      </c>
      <c r="M28" s="8" t="str">
        <f t="shared" si="9"/>
        <v>Sim</v>
      </c>
      <c r="N28" s="8" t="str">
        <f t="shared" si="10"/>
        <v>Sim</v>
      </c>
      <c r="O28" s="8" t="str">
        <f t="shared" si="11"/>
        <v>Não</v>
      </c>
      <c r="P28" s="8" t="str">
        <f t="shared" si="12"/>
        <v>Sim</v>
      </c>
    </row>
    <row r="29" ht="36.75" hidden="1" customHeight="1">
      <c r="A29" s="5">
        <v>44322.34499283565</v>
      </c>
      <c r="B29" s="6" t="s">
        <v>37</v>
      </c>
      <c r="C29" s="6" t="s">
        <v>38</v>
      </c>
      <c r="D29" s="7" t="s">
        <v>46</v>
      </c>
      <c r="E29" s="8" t="str">
        <f t="shared" si="1"/>
        <v>Não</v>
      </c>
      <c r="F29" s="8" t="str">
        <f t="shared" si="2"/>
        <v>Sim</v>
      </c>
      <c r="G29" s="8" t="str">
        <f t="shared" si="3"/>
        <v>Sim</v>
      </c>
      <c r="H29" s="8" t="str">
        <f t="shared" si="4"/>
        <v>Não</v>
      </c>
      <c r="I29" s="8" t="str">
        <f t="shared" si="5"/>
        <v>Não</v>
      </c>
      <c r="J29" s="8" t="str">
        <f t="shared" si="6"/>
        <v>Sim</v>
      </c>
      <c r="K29" s="8" t="str">
        <f t="shared" si="7"/>
        <v>Não</v>
      </c>
      <c r="L29" s="8" t="str">
        <f t="shared" si="8"/>
        <v>Não</v>
      </c>
      <c r="M29" s="8" t="str">
        <f t="shared" si="9"/>
        <v>Sim</v>
      </c>
      <c r="N29" s="8" t="str">
        <f t="shared" si="10"/>
        <v>Não</v>
      </c>
      <c r="O29" s="8" t="str">
        <f t="shared" si="11"/>
        <v>Não</v>
      </c>
      <c r="P29" s="8" t="str">
        <f t="shared" si="12"/>
        <v>Sim</v>
      </c>
    </row>
    <row r="30" ht="36.75" hidden="1" customHeight="1">
      <c r="A30" s="5">
        <v>44322.357088425924</v>
      </c>
      <c r="B30" s="6" t="s">
        <v>37</v>
      </c>
      <c r="C30" s="6" t="s">
        <v>38</v>
      </c>
      <c r="D30" s="7" t="s">
        <v>47</v>
      </c>
      <c r="E30" s="8" t="str">
        <f t="shared" si="1"/>
        <v>Não</v>
      </c>
      <c r="F30" s="8" t="str">
        <f t="shared" si="2"/>
        <v>Não</v>
      </c>
      <c r="G30" s="8" t="str">
        <f t="shared" si="3"/>
        <v>Sim</v>
      </c>
      <c r="H30" s="8" t="str">
        <f t="shared" si="4"/>
        <v>Sim</v>
      </c>
      <c r="I30" s="8" t="str">
        <f t="shared" si="5"/>
        <v>Não</v>
      </c>
      <c r="J30" s="8" t="str">
        <f t="shared" si="6"/>
        <v>Sim</v>
      </c>
      <c r="K30" s="8" t="str">
        <f t="shared" si="7"/>
        <v>Não</v>
      </c>
      <c r="L30" s="8" t="str">
        <f t="shared" si="8"/>
        <v>Não</v>
      </c>
      <c r="M30" s="8" t="str">
        <f t="shared" si="9"/>
        <v>Sim</v>
      </c>
      <c r="N30" s="8" t="str">
        <f t="shared" si="10"/>
        <v>Não</v>
      </c>
      <c r="O30" s="8" t="str">
        <f t="shared" si="11"/>
        <v>Não</v>
      </c>
      <c r="P30" s="8" t="str">
        <f t="shared" si="12"/>
        <v>Não</v>
      </c>
    </row>
    <row r="31" ht="36.75" hidden="1" customHeight="1">
      <c r="A31" s="5">
        <v>44322.38366546296</v>
      </c>
      <c r="B31" s="6" t="s">
        <v>37</v>
      </c>
      <c r="C31" s="9" t="s">
        <v>48</v>
      </c>
      <c r="D31" s="7" t="s">
        <v>19</v>
      </c>
      <c r="E31" s="8" t="str">
        <f t="shared" si="1"/>
        <v>Não</v>
      </c>
      <c r="F31" s="8" t="str">
        <f t="shared" si="2"/>
        <v>Não</v>
      </c>
      <c r="G31" s="8" t="str">
        <f t="shared" si="3"/>
        <v>Não</v>
      </c>
      <c r="H31" s="8" t="str">
        <f t="shared" si="4"/>
        <v>Não</v>
      </c>
      <c r="I31" s="8" t="str">
        <f t="shared" si="5"/>
        <v>Não</v>
      </c>
      <c r="J31" s="8" t="str">
        <f t="shared" si="6"/>
        <v>Sim</v>
      </c>
      <c r="K31" s="8" t="str">
        <f t="shared" si="7"/>
        <v>Não</v>
      </c>
      <c r="L31" s="8" t="str">
        <f t="shared" si="8"/>
        <v>Não</v>
      </c>
      <c r="M31" s="8" t="str">
        <f t="shared" si="9"/>
        <v>Sim</v>
      </c>
      <c r="N31" s="8" t="str">
        <f t="shared" si="10"/>
        <v>Não</v>
      </c>
      <c r="O31" s="8" t="str">
        <f t="shared" si="11"/>
        <v>Não</v>
      </c>
      <c r="P31" s="8" t="str">
        <f t="shared" si="12"/>
        <v>Sim</v>
      </c>
    </row>
    <row r="32" ht="36.75" hidden="1" customHeight="1">
      <c r="A32" s="5">
        <v>44322.39068966435</v>
      </c>
      <c r="B32" s="6" t="s">
        <v>37</v>
      </c>
      <c r="C32" s="6" t="s">
        <v>38</v>
      </c>
      <c r="D32" s="7" t="s">
        <v>49</v>
      </c>
      <c r="E32" s="8" t="str">
        <f t="shared" si="1"/>
        <v>Não</v>
      </c>
      <c r="F32" s="8" t="str">
        <f t="shared" si="2"/>
        <v>Não</v>
      </c>
      <c r="G32" s="8" t="str">
        <f t="shared" si="3"/>
        <v>Sim</v>
      </c>
      <c r="H32" s="8" t="str">
        <f t="shared" si="4"/>
        <v>Sim</v>
      </c>
      <c r="I32" s="8" t="str">
        <f t="shared" si="5"/>
        <v>Sim</v>
      </c>
      <c r="J32" s="8" t="str">
        <f t="shared" si="6"/>
        <v>Sim</v>
      </c>
      <c r="K32" s="8" t="str">
        <f t="shared" si="7"/>
        <v>Não</v>
      </c>
      <c r="L32" s="8" t="str">
        <f t="shared" si="8"/>
        <v>Não</v>
      </c>
      <c r="M32" s="8" t="str">
        <f t="shared" si="9"/>
        <v>Não</v>
      </c>
      <c r="N32" s="8" t="str">
        <f t="shared" si="10"/>
        <v>Não</v>
      </c>
      <c r="O32" s="8" t="str">
        <f t="shared" si="11"/>
        <v>Não</v>
      </c>
      <c r="P32" s="8" t="str">
        <f t="shared" si="12"/>
        <v>Sim</v>
      </c>
    </row>
    <row r="33" ht="36.75" hidden="1" customHeight="1">
      <c r="A33" s="5">
        <v>44322.39250324074</v>
      </c>
      <c r="B33" s="6" t="s">
        <v>37</v>
      </c>
      <c r="C33" s="6" t="s">
        <v>38</v>
      </c>
      <c r="D33" s="7" t="s">
        <v>50</v>
      </c>
      <c r="E33" s="8" t="str">
        <f t="shared" si="1"/>
        <v>Sim</v>
      </c>
      <c r="F33" s="8" t="str">
        <f t="shared" si="2"/>
        <v>Sim</v>
      </c>
      <c r="G33" s="8" t="str">
        <f t="shared" si="3"/>
        <v>Sim</v>
      </c>
      <c r="H33" s="8" t="str">
        <f t="shared" si="4"/>
        <v>Sim</v>
      </c>
      <c r="I33" s="8" t="str">
        <f t="shared" si="5"/>
        <v>Sim</v>
      </c>
      <c r="J33" s="8" t="str">
        <f t="shared" si="6"/>
        <v>Sim</v>
      </c>
      <c r="K33" s="8" t="str">
        <f t="shared" si="7"/>
        <v>Não</v>
      </c>
      <c r="L33" s="8" t="str">
        <f t="shared" si="8"/>
        <v>Sim</v>
      </c>
      <c r="M33" s="8" t="str">
        <f t="shared" si="9"/>
        <v>Sim</v>
      </c>
      <c r="N33" s="8" t="str">
        <f t="shared" si="10"/>
        <v>Não</v>
      </c>
      <c r="O33" s="8" t="str">
        <f t="shared" si="11"/>
        <v>Não</v>
      </c>
      <c r="P33" s="8" t="str">
        <f t="shared" si="12"/>
        <v>Sim</v>
      </c>
    </row>
    <row r="34" ht="36.75" hidden="1" customHeight="1">
      <c r="A34" s="5">
        <v>44322.41202704862</v>
      </c>
      <c r="B34" s="6" t="s">
        <v>37</v>
      </c>
      <c r="C34" s="6" t="s">
        <v>38</v>
      </c>
      <c r="D34" s="7" t="s">
        <v>51</v>
      </c>
      <c r="E34" s="8" t="str">
        <f t="shared" si="1"/>
        <v>Sim</v>
      </c>
      <c r="F34" s="8" t="str">
        <f t="shared" si="2"/>
        <v>Sim</v>
      </c>
      <c r="G34" s="8" t="str">
        <f t="shared" si="3"/>
        <v>Sim</v>
      </c>
      <c r="H34" s="8" t="str">
        <f t="shared" si="4"/>
        <v>Sim</v>
      </c>
      <c r="I34" s="8" t="str">
        <f t="shared" si="5"/>
        <v>Sim</v>
      </c>
      <c r="J34" s="8" t="str">
        <f t="shared" si="6"/>
        <v>Sim</v>
      </c>
      <c r="K34" s="8" t="str">
        <f t="shared" si="7"/>
        <v>Sim</v>
      </c>
      <c r="L34" s="8" t="str">
        <f t="shared" si="8"/>
        <v>Não</v>
      </c>
      <c r="M34" s="8" t="str">
        <f t="shared" si="9"/>
        <v>Sim</v>
      </c>
      <c r="N34" s="8" t="str">
        <f t="shared" si="10"/>
        <v>Não</v>
      </c>
      <c r="O34" s="8" t="str">
        <f t="shared" si="11"/>
        <v>Não</v>
      </c>
      <c r="P34" s="8" t="str">
        <f t="shared" si="12"/>
        <v>Sim</v>
      </c>
    </row>
    <row r="35" ht="36.75" customHeight="1">
      <c r="A35" s="5">
        <v>44322.41341555555</v>
      </c>
      <c r="B35" s="6" t="s">
        <v>37</v>
      </c>
      <c r="C35" s="6" t="s">
        <v>38</v>
      </c>
      <c r="D35" s="7" t="s">
        <v>52</v>
      </c>
      <c r="E35" s="8" t="str">
        <f t="shared" si="1"/>
        <v>Não</v>
      </c>
      <c r="F35" s="8" t="str">
        <f t="shared" si="2"/>
        <v>Não</v>
      </c>
      <c r="G35" s="8" t="str">
        <f t="shared" si="3"/>
        <v>Sim</v>
      </c>
      <c r="H35" s="8" t="str">
        <f t="shared" si="4"/>
        <v>Não</v>
      </c>
      <c r="I35" s="8" t="str">
        <f t="shared" si="5"/>
        <v>Sim</v>
      </c>
      <c r="J35" s="8" t="str">
        <f t="shared" si="6"/>
        <v>Sim</v>
      </c>
      <c r="K35" s="8" t="str">
        <f t="shared" si="7"/>
        <v>Não</v>
      </c>
      <c r="L35" s="8" t="str">
        <f t="shared" si="8"/>
        <v>Não</v>
      </c>
      <c r="M35" s="8" t="str">
        <f t="shared" si="9"/>
        <v>Não</v>
      </c>
      <c r="N35" s="8" t="str">
        <f t="shared" si="10"/>
        <v>Não</v>
      </c>
      <c r="O35" s="8" t="str">
        <f t="shared" si="11"/>
        <v>Sim</v>
      </c>
      <c r="P35" s="8" t="str">
        <f t="shared" si="12"/>
        <v>Sim</v>
      </c>
    </row>
    <row r="36" ht="36.75" hidden="1" customHeight="1">
      <c r="A36" s="5">
        <v>44322.414445</v>
      </c>
      <c r="B36" s="6" t="s">
        <v>37</v>
      </c>
      <c r="C36" s="6" t="s">
        <v>38</v>
      </c>
      <c r="D36" s="7" t="s">
        <v>53</v>
      </c>
      <c r="E36" s="8" t="str">
        <f t="shared" si="1"/>
        <v>Não</v>
      </c>
      <c r="F36" s="8" t="str">
        <f t="shared" si="2"/>
        <v>Não</v>
      </c>
      <c r="G36" s="8" t="str">
        <f t="shared" si="3"/>
        <v>Sim</v>
      </c>
      <c r="H36" s="8" t="str">
        <f t="shared" si="4"/>
        <v>Sim</v>
      </c>
      <c r="I36" s="8" t="str">
        <f t="shared" si="5"/>
        <v>Não</v>
      </c>
      <c r="J36" s="8" t="str">
        <f t="shared" si="6"/>
        <v>Sim</v>
      </c>
      <c r="K36" s="8" t="str">
        <f t="shared" si="7"/>
        <v>Não</v>
      </c>
      <c r="L36" s="8" t="str">
        <f t="shared" si="8"/>
        <v>Não</v>
      </c>
      <c r="M36" s="8" t="str">
        <f t="shared" si="9"/>
        <v>Sim</v>
      </c>
      <c r="N36" s="8" t="str">
        <f t="shared" si="10"/>
        <v>Não</v>
      </c>
      <c r="O36" s="8" t="str">
        <f t="shared" si="11"/>
        <v>Não</v>
      </c>
      <c r="P36" s="8" t="str">
        <f t="shared" si="12"/>
        <v>Sim</v>
      </c>
    </row>
    <row r="37" ht="36.75" hidden="1" customHeight="1">
      <c r="A37" s="5">
        <v>44322.41572640046</v>
      </c>
      <c r="B37" s="6" t="s">
        <v>37</v>
      </c>
      <c r="C37" s="6" t="s">
        <v>38</v>
      </c>
      <c r="D37" s="7" t="s">
        <v>19</v>
      </c>
      <c r="E37" s="8" t="str">
        <f t="shared" si="1"/>
        <v>Não</v>
      </c>
      <c r="F37" s="8" t="str">
        <f t="shared" si="2"/>
        <v>Não</v>
      </c>
      <c r="G37" s="8" t="str">
        <f t="shared" si="3"/>
        <v>Não</v>
      </c>
      <c r="H37" s="8" t="str">
        <f t="shared" si="4"/>
        <v>Não</v>
      </c>
      <c r="I37" s="8" t="str">
        <f t="shared" si="5"/>
        <v>Não</v>
      </c>
      <c r="J37" s="8" t="str">
        <f t="shared" si="6"/>
        <v>Sim</v>
      </c>
      <c r="K37" s="8" t="str">
        <f t="shared" si="7"/>
        <v>Não</v>
      </c>
      <c r="L37" s="8" t="str">
        <f t="shared" si="8"/>
        <v>Não</v>
      </c>
      <c r="M37" s="8" t="str">
        <f t="shared" si="9"/>
        <v>Sim</v>
      </c>
      <c r="N37" s="8" t="str">
        <f t="shared" si="10"/>
        <v>Não</v>
      </c>
      <c r="O37" s="8" t="str">
        <f t="shared" si="11"/>
        <v>Não</v>
      </c>
      <c r="P37" s="8" t="str">
        <f t="shared" si="12"/>
        <v>Sim</v>
      </c>
    </row>
    <row r="38" ht="36.75" hidden="1" customHeight="1">
      <c r="A38" s="5">
        <v>44322.41750170139</v>
      </c>
      <c r="B38" s="6" t="s">
        <v>37</v>
      </c>
      <c r="C38" s="6" t="s">
        <v>38</v>
      </c>
      <c r="D38" s="7" t="s">
        <v>54</v>
      </c>
      <c r="E38" s="8" t="str">
        <f t="shared" si="1"/>
        <v>Sim</v>
      </c>
      <c r="F38" s="8" t="str">
        <f t="shared" si="2"/>
        <v>Sim</v>
      </c>
      <c r="G38" s="8" t="str">
        <f t="shared" si="3"/>
        <v>Sim</v>
      </c>
      <c r="H38" s="8" t="str">
        <f t="shared" si="4"/>
        <v>Sim</v>
      </c>
      <c r="I38" s="8" t="str">
        <f t="shared" si="5"/>
        <v>Não</v>
      </c>
      <c r="J38" s="8" t="str">
        <f t="shared" si="6"/>
        <v>Sim</v>
      </c>
      <c r="K38" s="8" t="str">
        <f t="shared" si="7"/>
        <v>Não</v>
      </c>
      <c r="L38" s="8" t="str">
        <f t="shared" si="8"/>
        <v>Não</v>
      </c>
      <c r="M38" s="8" t="str">
        <f t="shared" si="9"/>
        <v>Não</v>
      </c>
      <c r="N38" s="8" t="str">
        <f t="shared" si="10"/>
        <v>Não</v>
      </c>
      <c r="O38" s="8" t="str">
        <f t="shared" si="11"/>
        <v>Não</v>
      </c>
      <c r="P38" s="8" t="str">
        <f t="shared" si="12"/>
        <v>Sim</v>
      </c>
    </row>
    <row r="39" ht="36.75" hidden="1" customHeight="1">
      <c r="A39" s="5">
        <v>44322.41834134259</v>
      </c>
      <c r="B39" s="6" t="s">
        <v>37</v>
      </c>
      <c r="C39" s="6" t="s">
        <v>38</v>
      </c>
      <c r="D39" s="7" t="s">
        <v>46</v>
      </c>
      <c r="E39" s="8" t="str">
        <f t="shared" si="1"/>
        <v>Não</v>
      </c>
      <c r="F39" s="8" t="str">
        <f t="shared" si="2"/>
        <v>Sim</v>
      </c>
      <c r="G39" s="8" t="str">
        <f t="shared" si="3"/>
        <v>Sim</v>
      </c>
      <c r="H39" s="8" t="str">
        <f t="shared" si="4"/>
        <v>Não</v>
      </c>
      <c r="I39" s="8" t="str">
        <f t="shared" si="5"/>
        <v>Não</v>
      </c>
      <c r="J39" s="8" t="str">
        <f t="shared" si="6"/>
        <v>Sim</v>
      </c>
      <c r="K39" s="8" t="str">
        <f t="shared" si="7"/>
        <v>Não</v>
      </c>
      <c r="L39" s="8" t="str">
        <f t="shared" si="8"/>
        <v>Não</v>
      </c>
      <c r="M39" s="8" t="str">
        <f t="shared" si="9"/>
        <v>Sim</v>
      </c>
      <c r="N39" s="8" t="str">
        <f t="shared" si="10"/>
        <v>Não</v>
      </c>
      <c r="O39" s="8" t="str">
        <f t="shared" si="11"/>
        <v>Não</v>
      </c>
      <c r="P39" s="8" t="str">
        <f t="shared" si="12"/>
        <v>Sim</v>
      </c>
    </row>
    <row r="40" ht="36.75" hidden="1" customHeight="1">
      <c r="A40" s="5">
        <v>44322.41861890046</v>
      </c>
      <c r="B40" s="6" t="s">
        <v>37</v>
      </c>
      <c r="C40" s="6" t="s">
        <v>38</v>
      </c>
      <c r="D40" s="7" t="s">
        <v>55</v>
      </c>
      <c r="E40" s="8" t="str">
        <f t="shared" si="1"/>
        <v>Não</v>
      </c>
      <c r="F40" s="8" t="str">
        <f t="shared" si="2"/>
        <v>Não</v>
      </c>
      <c r="G40" s="8" t="str">
        <f t="shared" si="3"/>
        <v>Não</v>
      </c>
      <c r="H40" s="8" t="str">
        <f t="shared" si="4"/>
        <v>Não</v>
      </c>
      <c r="I40" s="8" t="str">
        <f t="shared" si="5"/>
        <v>Não</v>
      </c>
      <c r="J40" s="8" t="str">
        <f t="shared" si="6"/>
        <v>Não</v>
      </c>
      <c r="K40" s="8" t="str">
        <f t="shared" si="7"/>
        <v>Não</v>
      </c>
      <c r="L40" s="8" t="str">
        <f t="shared" si="8"/>
        <v>Não</v>
      </c>
      <c r="M40" s="8" t="str">
        <f t="shared" si="9"/>
        <v>Sim</v>
      </c>
      <c r="N40" s="8" t="str">
        <f t="shared" si="10"/>
        <v>Não</v>
      </c>
      <c r="O40" s="8" t="str">
        <f t="shared" si="11"/>
        <v>Não</v>
      </c>
      <c r="P40" s="8" t="str">
        <f t="shared" si="12"/>
        <v>Sim</v>
      </c>
    </row>
    <row r="41" ht="36.75" customHeight="1">
      <c r="A41" s="5">
        <v>44322.418687557874</v>
      </c>
      <c r="B41" s="6" t="s">
        <v>37</v>
      </c>
      <c r="C41" s="6" t="s">
        <v>38</v>
      </c>
      <c r="D41" s="7" t="s">
        <v>56</v>
      </c>
      <c r="E41" s="8" t="str">
        <f t="shared" si="1"/>
        <v>Sim</v>
      </c>
      <c r="F41" s="8" t="str">
        <f t="shared" si="2"/>
        <v>Sim</v>
      </c>
      <c r="G41" s="8" t="str">
        <f t="shared" si="3"/>
        <v>Sim</v>
      </c>
      <c r="H41" s="8" t="str">
        <f t="shared" si="4"/>
        <v>Sim</v>
      </c>
      <c r="I41" s="8" t="str">
        <f t="shared" si="5"/>
        <v>Não</v>
      </c>
      <c r="J41" s="8" t="str">
        <f t="shared" si="6"/>
        <v>Sim</v>
      </c>
      <c r="K41" s="8" t="str">
        <f t="shared" si="7"/>
        <v>Não</v>
      </c>
      <c r="L41" s="8" t="str">
        <f t="shared" si="8"/>
        <v>Não</v>
      </c>
      <c r="M41" s="8" t="str">
        <f t="shared" si="9"/>
        <v>Sim</v>
      </c>
      <c r="N41" s="8" t="str">
        <f t="shared" si="10"/>
        <v>Não</v>
      </c>
      <c r="O41" s="8" t="str">
        <f t="shared" si="11"/>
        <v>Sim</v>
      </c>
      <c r="P41" s="8" t="str">
        <f t="shared" si="12"/>
        <v>Sim</v>
      </c>
    </row>
    <row r="42" ht="36.75" hidden="1" customHeight="1">
      <c r="A42" s="5">
        <v>44322.42004898148</v>
      </c>
      <c r="B42" s="6" t="s">
        <v>37</v>
      </c>
      <c r="C42" s="6" t="s">
        <v>38</v>
      </c>
      <c r="D42" s="7" t="s">
        <v>57</v>
      </c>
      <c r="E42" s="8" t="str">
        <f t="shared" si="1"/>
        <v>Não</v>
      </c>
      <c r="F42" s="8" t="str">
        <f t="shared" si="2"/>
        <v>Sim</v>
      </c>
      <c r="G42" s="8" t="str">
        <f t="shared" si="3"/>
        <v>Sim</v>
      </c>
      <c r="H42" s="8" t="str">
        <f t="shared" si="4"/>
        <v>Sim</v>
      </c>
      <c r="I42" s="8" t="str">
        <f t="shared" si="5"/>
        <v>Sim</v>
      </c>
      <c r="J42" s="8" t="str">
        <f t="shared" si="6"/>
        <v>Sim</v>
      </c>
      <c r="K42" s="8" t="str">
        <f t="shared" si="7"/>
        <v>Sim</v>
      </c>
      <c r="L42" s="8" t="str">
        <f t="shared" si="8"/>
        <v>Não</v>
      </c>
      <c r="M42" s="8" t="str">
        <f t="shared" si="9"/>
        <v>Sim</v>
      </c>
      <c r="N42" s="8" t="str">
        <f t="shared" si="10"/>
        <v>Não</v>
      </c>
      <c r="O42" s="8" t="str">
        <f t="shared" si="11"/>
        <v>Não</v>
      </c>
      <c r="P42" s="8" t="str">
        <f t="shared" si="12"/>
        <v>Sim</v>
      </c>
    </row>
    <row r="43" ht="36.75" hidden="1" customHeight="1">
      <c r="A43" s="5">
        <v>44322.42092795139</v>
      </c>
      <c r="B43" s="6" t="s">
        <v>37</v>
      </c>
      <c r="C43" s="6" t="s">
        <v>38</v>
      </c>
      <c r="D43" s="7" t="s">
        <v>46</v>
      </c>
      <c r="E43" s="8" t="str">
        <f t="shared" si="1"/>
        <v>Não</v>
      </c>
      <c r="F43" s="8" t="str">
        <f t="shared" si="2"/>
        <v>Sim</v>
      </c>
      <c r="G43" s="8" t="str">
        <f t="shared" si="3"/>
        <v>Sim</v>
      </c>
      <c r="H43" s="8" t="str">
        <f t="shared" si="4"/>
        <v>Não</v>
      </c>
      <c r="I43" s="8" t="str">
        <f t="shared" si="5"/>
        <v>Não</v>
      </c>
      <c r="J43" s="8" t="str">
        <f t="shared" si="6"/>
        <v>Sim</v>
      </c>
      <c r="K43" s="8" t="str">
        <f t="shared" si="7"/>
        <v>Não</v>
      </c>
      <c r="L43" s="8" t="str">
        <f t="shared" si="8"/>
        <v>Não</v>
      </c>
      <c r="M43" s="8" t="str">
        <f t="shared" si="9"/>
        <v>Sim</v>
      </c>
      <c r="N43" s="8" t="str">
        <f t="shared" si="10"/>
        <v>Não</v>
      </c>
      <c r="O43" s="8" t="str">
        <f t="shared" si="11"/>
        <v>Não</v>
      </c>
      <c r="P43" s="8" t="str">
        <f t="shared" si="12"/>
        <v>Sim</v>
      </c>
    </row>
    <row r="44" ht="36.75" hidden="1" customHeight="1">
      <c r="A44" s="5">
        <v>44322.42673153935</v>
      </c>
      <c r="B44" s="6" t="s">
        <v>37</v>
      </c>
      <c r="C44" s="6" t="s">
        <v>38</v>
      </c>
      <c r="D44" s="7" t="s">
        <v>58</v>
      </c>
      <c r="E44" s="8" t="str">
        <f t="shared" si="1"/>
        <v>Sim</v>
      </c>
      <c r="F44" s="8" t="str">
        <f t="shared" si="2"/>
        <v>Não</v>
      </c>
      <c r="G44" s="8" t="str">
        <f t="shared" si="3"/>
        <v>Sim</v>
      </c>
      <c r="H44" s="8" t="str">
        <f t="shared" si="4"/>
        <v>Não</v>
      </c>
      <c r="I44" s="8" t="str">
        <f t="shared" si="5"/>
        <v>Não</v>
      </c>
      <c r="J44" s="8" t="str">
        <f t="shared" si="6"/>
        <v>Não</v>
      </c>
      <c r="K44" s="8" t="str">
        <f t="shared" si="7"/>
        <v>Sim</v>
      </c>
      <c r="L44" s="8" t="str">
        <f t="shared" si="8"/>
        <v>Sim</v>
      </c>
      <c r="M44" s="8" t="str">
        <f t="shared" si="9"/>
        <v>Não</v>
      </c>
      <c r="N44" s="8" t="str">
        <f t="shared" si="10"/>
        <v>Sim</v>
      </c>
      <c r="O44" s="8" t="str">
        <f t="shared" si="11"/>
        <v>Não</v>
      </c>
      <c r="P44" s="8" t="str">
        <f t="shared" si="12"/>
        <v>Não</v>
      </c>
    </row>
    <row r="45" ht="36.75" hidden="1" customHeight="1">
      <c r="A45" s="5">
        <v>44322.42696023148</v>
      </c>
      <c r="B45" s="6" t="s">
        <v>37</v>
      </c>
      <c r="C45" s="6" t="s">
        <v>38</v>
      </c>
      <c r="D45" s="7" t="s">
        <v>59</v>
      </c>
      <c r="E45" s="8" t="str">
        <f t="shared" si="1"/>
        <v>Sim</v>
      </c>
      <c r="F45" s="8" t="str">
        <f t="shared" si="2"/>
        <v>Não</v>
      </c>
      <c r="G45" s="8" t="str">
        <f t="shared" si="3"/>
        <v>Sim</v>
      </c>
      <c r="H45" s="8" t="str">
        <f t="shared" si="4"/>
        <v>Não</v>
      </c>
      <c r="I45" s="8" t="str">
        <f t="shared" si="5"/>
        <v>Não</v>
      </c>
      <c r="J45" s="8" t="str">
        <f t="shared" si="6"/>
        <v>Não</v>
      </c>
      <c r="K45" s="8" t="str">
        <f t="shared" si="7"/>
        <v>Sim</v>
      </c>
      <c r="L45" s="8" t="str">
        <f t="shared" si="8"/>
        <v>Não</v>
      </c>
      <c r="M45" s="8" t="str">
        <f t="shared" si="9"/>
        <v>Sim</v>
      </c>
      <c r="N45" s="8" t="str">
        <f t="shared" si="10"/>
        <v>Não</v>
      </c>
      <c r="O45" s="8" t="str">
        <f t="shared" si="11"/>
        <v>Não</v>
      </c>
      <c r="P45" s="8" t="str">
        <f t="shared" si="12"/>
        <v>Sim</v>
      </c>
    </row>
    <row r="46" ht="36.75" hidden="1" customHeight="1">
      <c r="A46" s="5">
        <v>44322.428605567125</v>
      </c>
      <c r="B46" s="6" t="s">
        <v>37</v>
      </c>
      <c r="C46" s="6" t="s">
        <v>38</v>
      </c>
      <c r="D46" s="7" t="s">
        <v>60</v>
      </c>
      <c r="E46" s="8" t="str">
        <f t="shared" si="1"/>
        <v>Não</v>
      </c>
      <c r="F46" s="8" t="str">
        <f t="shared" si="2"/>
        <v>Sim</v>
      </c>
      <c r="G46" s="8" t="str">
        <f t="shared" si="3"/>
        <v>Sim</v>
      </c>
      <c r="H46" s="8" t="str">
        <f t="shared" si="4"/>
        <v>Não</v>
      </c>
      <c r="I46" s="8" t="str">
        <f t="shared" si="5"/>
        <v>Não</v>
      </c>
      <c r="J46" s="8" t="str">
        <f t="shared" si="6"/>
        <v>Sim</v>
      </c>
      <c r="K46" s="8" t="str">
        <f t="shared" si="7"/>
        <v>Não</v>
      </c>
      <c r="L46" s="8" t="str">
        <f t="shared" si="8"/>
        <v>Não</v>
      </c>
      <c r="M46" s="8" t="str">
        <f t="shared" si="9"/>
        <v>Sim</v>
      </c>
      <c r="N46" s="8" t="str">
        <f t="shared" si="10"/>
        <v>Não</v>
      </c>
      <c r="O46" s="8" t="str">
        <f t="shared" si="11"/>
        <v>Não</v>
      </c>
      <c r="P46" s="8" t="str">
        <f t="shared" si="12"/>
        <v>Sim</v>
      </c>
    </row>
    <row r="47" ht="36.75" hidden="1" customHeight="1">
      <c r="A47" s="5">
        <v>44322.429023668985</v>
      </c>
      <c r="B47" s="6" t="s">
        <v>37</v>
      </c>
      <c r="C47" s="6" t="s">
        <v>38</v>
      </c>
      <c r="D47" s="7" t="s">
        <v>19</v>
      </c>
      <c r="E47" s="8" t="str">
        <f t="shared" si="1"/>
        <v>Não</v>
      </c>
      <c r="F47" s="8" t="str">
        <f t="shared" si="2"/>
        <v>Não</v>
      </c>
      <c r="G47" s="8" t="str">
        <f t="shared" si="3"/>
        <v>Não</v>
      </c>
      <c r="H47" s="8" t="str">
        <f t="shared" si="4"/>
        <v>Não</v>
      </c>
      <c r="I47" s="8" t="str">
        <f t="shared" si="5"/>
        <v>Não</v>
      </c>
      <c r="J47" s="8" t="str">
        <f t="shared" si="6"/>
        <v>Sim</v>
      </c>
      <c r="K47" s="8" t="str">
        <f t="shared" si="7"/>
        <v>Não</v>
      </c>
      <c r="L47" s="8" t="str">
        <f t="shared" si="8"/>
        <v>Não</v>
      </c>
      <c r="M47" s="8" t="str">
        <f t="shared" si="9"/>
        <v>Sim</v>
      </c>
      <c r="N47" s="8" t="str">
        <f t="shared" si="10"/>
        <v>Não</v>
      </c>
      <c r="O47" s="8" t="str">
        <f t="shared" si="11"/>
        <v>Não</v>
      </c>
      <c r="P47" s="8" t="str">
        <f t="shared" si="12"/>
        <v>Sim</v>
      </c>
    </row>
    <row r="48" ht="36.75" hidden="1" customHeight="1">
      <c r="A48" s="5">
        <v>44322.429149895834</v>
      </c>
      <c r="B48" s="6" t="s">
        <v>37</v>
      </c>
      <c r="C48" s="6" t="s">
        <v>38</v>
      </c>
      <c r="D48" s="7" t="s">
        <v>61</v>
      </c>
      <c r="E48" s="8" t="str">
        <f t="shared" si="1"/>
        <v>Sim</v>
      </c>
      <c r="F48" s="8" t="str">
        <f t="shared" si="2"/>
        <v>Não</v>
      </c>
      <c r="G48" s="8" t="str">
        <f t="shared" si="3"/>
        <v>Sim</v>
      </c>
      <c r="H48" s="8" t="str">
        <f t="shared" si="4"/>
        <v>Não</v>
      </c>
      <c r="I48" s="8" t="str">
        <f t="shared" si="5"/>
        <v>Não</v>
      </c>
      <c r="J48" s="8" t="str">
        <f t="shared" si="6"/>
        <v>Sim</v>
      </c>
      <c r="K48" s="8" t="str">
        <f t="shared" si="7"/>
        <v>Não</v>
      </c>
      <c r="L48" s="8" t="str">
        <f t="shared" si="8"/>
        <v>Não</v>
      </c>
      <c r="M48" s="8" t="str">
        <f t="shared" si="9"/>
        <v>Não</v>
      </c>
      <c r="N48" s="8" t="str">
        <f t="shared" si="10"/>
        <v>Não</v>
      </c>
      <c r="O48" s="8" t="str">
        <f t="shared" si="11"/>
        <v>Não</v>
      </c>
      <c r="P48" s="8" t="str">
        <f t="shared" si="12"/>
        <v>Não</v>
      </c>
    </row>
    <row r="49" ht="36.75" hidden="1" customHeight="1">
      <c r="A49" s="5">
        <v>44322.42964458333</v>
      </c>
      <c r="B49" s="6" t="s">
        <v>37</v>
      </c>
      <c r="C49" s="6" t="s">
        <v>38</v>
      </c>
      <c r="D49" s="7" t="s">
        <v>62</v>
      </c>
      <c r="E49" s="8" t="str">
        <f t="shared" si="1"/>
        <v>Não</v>
      </c>
      <c r="F49" s="8" t="str">
        <f t="shared" si="2"/>
        <v>Sim</v>
      </c>
      <c r="G49" s="8" t="str">
        <f t="shared" si="3"/>
        <v>Sim</v>
      </c>
      <c r="H49" s="8" t="str">
        <f t="shared" si="4"/>
        <v>Não</v>
      </c>
      <c r="I49" s="8" t="str">
        <f t="shared" si="5"/>
        <v>Não</v>
      </c>
      <c r="J49" s="8" t="str">
        <f t="shared" si="6"/>
        <v>Sim</v>
      </c>
      <c r="K49" s="8" t="str">
        <f t="shared" si="7"/>
        <v>Sim</v>
      </c>
      <c r="L49" s="8" t="str">
        <f t="shared" si="8"/>
        <v>Não</v>
      </c>
      <c r="M49" s="8" t="str">
        <f t="shared" si="9"/>
        <v>Sim</v>
      </c>
      <c r="N49" s="8" t="str">
        <f t="shared" si="10"/>
        <v>Não</v>
      </c>
      <c r="O49" s="8" t="str">
        <f t="shared" si="11"/>
        <v>Não</v>
      </c>
      <c r="P49" s="8" t="str">
        <f t="shared" si="12"/>
        <v>Não</v>
      </c>
    </row>
    <row r="50" ht="36.75" customHeight="1">
      <c r="A50" s="5">
        <v>44322.4299903125</v>
      </c>
      <c r="B50" s="6" t="s">
        <v>37</v>
      </c>
      <c r="C50" s="6" t="s">
        <v>38</v>
      </c>
      <c r="D50" s="7" t="s">
        <v>63</v>
      </c>
      <c r="E50" s="8" t="str">
        <f t="shared" si="1"/>
        <v>Sim</v>
      </c>
      <c r="F50" s="8" t="str">
        <f t="shared" si="2"/>
        <v>Sim</v>
      </c>
      <c r="G50" s="8" t="str">
        <f t="shared" si="3"/>
        <v>Sim</v>
      </c>
      <c r="H50" s="8" t="str">
        <f t="shared" si="4"/>
        <v>Sim</v>
      </c>
      <c r="I50" s="8" t="str">
        <f t="shared" si="5"/>
        <v>Não</v>
      </c>
      <c r="J50" s="8" t="str">
        <f t="shared" si="6"/>
        <v>Sim</v>
      </c>
      <c r="K50" s="8" t="str">
        <f t="shared" si="7"/>
        <v>Não</v>
      </c>
      <c r="L50" s="8" t="str">
        <f t="shared" si="8"/>
        <v>Não</v>
      </c>
      <c r="M50" s="8" t="str">
        <f t="shared" si="9"/>
        <v>Não</v>
      </c>
      <c r="N50" s="8" t="str">
        <f t="shared" si="10"/>
        <v>Não</v>
      </c>
      <c r="O50" s="8" t="str">
        <f t="shared" si="11"/>
        <v>Sim</v>
      </c>
      <c r="P50" s="8" t="str">
        <f t="shared" si="12"/>
        <v>Sim</v>
      </c>
    </row>
    <row r="51" ht="36.75" hidden="1" customHeight="1">
      <c r="A51" s="5">
        <v>44322.43000733796</v>
      </c>
      <c r="B51" s="6" t="s">
        <v>37</v>
      </c>
      <c r="C51" s="6" t="s">
        <v>38</v>
      </c>
      <c r="D51" s="7" t="s">
        <v>64</v>
      </c>
      <c r="E51" s="8" t="str">
        <f t="shared" si="1"/>
        <v>Não</v>
      </c>
      <c r="F51" s="8" t="str">
        <f t="shared" si="2"/>
        <v>Sim</v>
      </c>
      <c r="G51" s="8" t="str">
        <f t="shared" si="3"/>
        <v>Sim</v>
      </c>
      <c r="H51" s="8" t="str">
        <f t="shared" si="4"/>
        <v>Não</v>
      </c>
      <c r="I51" s="8" t="str">
        <f t="shared" si="5"/>
        <v>Não</v>
      </c>
      <c r="J51" s="8" t="str">
        <f t="shared" si="6"/>
        <v>Sim</v>
      </c>
      <c r="K51" s="8" t="str">
        <f t="shared" si="7"/>
        <v>Não</v>
      </c>
      <c r="L51" s="8" t="str">
        <f t="shared" si="8"/>
        <v>Não</v>
      </c>
      <c r="M51" s="8" t="str">
        <f t="shared" si="9"/>
        <v>Não</v>
      </c>
      <c r="N51" s="8" t="str">
        <f t="shared" si="10"/>
        <v>Não</v>
      </c>
      <c r="O51" s="8" t="str">
        <f t="shared" si="11"/>
        <v>Não</v>
      </c>
      <c r="P51" s="8" t="str">
        <f t="shared" si="12"/>
        <v>Não</v>
      </c>
    </row>
    <row r="52" ht="36.75" customHeight="1">
      <c r="A52" s="5">
        <v>44322.43067460648</v>
      </c>
      <c r="B52" s="6" t="s">
        <v>37</v>
      </c>
      <c r="C52" s="6" t="s">
        <v>38</v>
      </c>
      <c r="D52" s="7" t="s">
        <v>65</v>
      </c>
      <c r="E52" s="8" t="str">
        <f t="shared" si="1"/>
        <v>Sim</v>
      </c>
      <c r="F52" s="8" t="str">
        <f t="shared" si="2"/>
        <v>Sim</v>
      </c>
      <c r="G52" s="8" t="str">
        <f t="shared" si="3"/>
        <v>Sim</v>
      </c>
      <c r="H52" s="8" t="str">
        <f t="shared" si="4"/>
        <v>Não</v>
      </c>
      <c r="I52" s="8" t="str">
        <f t="shared" si="5"/>
        <v>Sim</v>
      </c>
      <c r="J52" s="8" t="str">
        <f t="shared" si="6"/>
        <v>Sim</v>
      </c>
      <c r="K52" s="8" t="str">
        <f t="shared" si="7"/>
        <v>Não</v>
      </c>
      <c r="L52" s="8" t="str">
        <f t="shared" si="8"/>
        <v>Não</v>
      </c>
      <c r="M52" s="8" t="str">
        <f t="shared" si="9"/>
        <v>Sim</v>
      </c>
      <c r="N52" s="8" t="str">
        <f t="shared" si="10"/>
        <v>Sim</v>
      </c>
      <c r="O52" s="8" t="str">
        <f t="shared" si="11"/>
        <v>Sim</v>
      </c>
      <c r="P52" s="8" t="str">
        <f t="shared" si="12"/>
        <v>Sim</v>
      </c>
    </row>
    <row r="53" ht="36.75" customHeight="1">
      <c r="A53" s="5">
        <v>44322.43100795139</v>
      </c>
      <c r="B53" s="6" t="s">
        <v>37</v>
      </c>
      <c r="C53" s="6" t="s">
        <v>38</v>
      </c>
      <c r="D53" s="7" t="s">
        <v>65</v>
      </c>
      <c r="E53" s="8" t="str">
        <f t="shared" si="1"/>
        <v>Sim</v>
      </c>
      <c r="F53" s="8" t="str">
        <f t="shared" si="2"/>
        <v>Sim</v>
      </c>
      <c r="G53" s="8" t="str">
        <f t="shared" si="3"/>
        <v>Sim</v>
      </c>
      <c r="H53" s="8" t="str">
        <f t="shared" si="4"/>
        <v>Não</v>
      </c>
      <c r="I53" s="8" t="str">
        <f t="shared" si="5"/>
        <v>Sim</v>
      </c>
      <c r="J53" s="8" t="str">
        <f t="shared" si="6"/>
        <v>Sim</v>
      </c>
      <c r="K53" s="8" t="str">
        <f t="shared" si="7"/>
        <v>Não</v>
      </c>
      <c r="L53" s="8" t="str">
        <f t="shared" si="8"/>
        <v>Não</v>
      </c>
      <c r="M53" s="8" t="str">
        <f t="shared" si="9"/>
        <v>Sim</v>
      </c>
      <c r="N53" s="8" t="str">
        <f t="shared" si="10"/>
        <v>Sim</v>
      </c>
      <c r="O53" s="8" t="str">
        <f t="shared" si="11"/>
        <v>Sim</v>
      </c>
      <c r="P53" s="8" t="str">
        <f t="shared" si="12"/>
        <v>Sim</v>
      </c>
    </row>
    <row r="54" ht="36.75" customHeight="1">
      <c r="A54" s="5">
        <v>44322.43130982639</v>
      </c>
      <c r="B54" s="6" t="s">
        <v>37</v>
      </c>
      <c r="C54" s="6" t="s">
        <v>38</v>
      </c>
      <c r="D54" s="7" t="s">
        <v>66</v>
      </c>
      <c r="E54" s="8" t="str">
        <f t="shared" si="1"/>
        <v>Sim</v>
      </c>
      <c r="F54" s="8" t="str">
        <f t="shared" si="2"/>
        <v>Sim</v>
      </c>
      <c r="G54" s="8" t="str">
        <f t="shared" si="3"/>
        <v>Sim</v>
      </c>
      <c r="H54" s="8" t="str">
        <f t="shared" si="4"/>
        <v>Não</v>
      </c>
      <c r="I54" s="8" t="str">
        <f t="shared" si="5"/>
        <v>Não</v>
      </c>
      <c r="J54" s="8" t="str">
        <f t="shared" si="6"/>
        <v>Sim</v>
      </c>
      <c r="K54" s="8" t="str">
        <f t="shared" si="7"/>
        <v>Não</v>
      </c>
      <c r="L54" s="8" t="str">
        <f t="shared" si="8"/>
        <v>Não</v>
      </c>
      <c r="M54" s="8" t="str">
        <f t="shared" si="9"/>
        <v>Sim</v>
      </c>
      <c r="N54" s="8" t="str">
        <f t="shared" si="10"/>
        <v>Não</v>
      </c>
      <c r="O54" s="8" t="str">
        <f t="shared" si="11"/>
        <v>Sim</v>
      </c>
      <c r="P54" s="8" t="str">
        <f t="shared" si="12"/>
        <v>Sim</v>
      </c>
    </row>
    <row r="55" ht="36.75" customHeight="1">
      <c r="A55" s="5">
        <v>44322.43196336806</v>
      </c>
      <c r="B55" s="6" t="s">
        <v>37</v>
      </c>
      <c r="C55" s="6" t="s">
        <v>38</v>
      </c>
      <c r="D55" s="7" t="s">
        <v>67</v>
      </c>
      <c r="E55" s="8" t="str">
        <f t="shared" si="1"/>
        <v>Não</v>
      </c>
      <c r="F55" s="8" t="str">
        <f t="shared" si="2"/>
        <v>Sim</v>
      </c>
      <c r="G55" s="8" t="str">
        <f t="shared" si="3"/>
        <v>Sim</v>
      </c>
      <c r="H55" s="8" t="str">
        <f t="shared" si="4"/>
        <v>Sim</v>
      </c>
      <c r="I55" s="8" t="str">
        <f t="shared" si="5"/>
        <v>Sim</v>
      </c>
      <c r="J55" s="8" t="str">
        <f t="shared" si="6"/>
        <v>Sim</v>
      </c>
      <c r="K55" s="8" t="str">
        <f t="shared" si="7"/>
        <v>Não</v>
      </c>
      <c r="L55" s="8" t="str">
        <f t="shared" si="8"/>
        <v>Sim</v>
      </c>
      <c r="M55" s="8" t="str">
        <f t="shared" si="9"/>
        <v>Sim</v>
      </c>
      <c r="N55" s="8" t="str">
        <f t="shared" si="10"/>
        <v>Sim</v>
      </c>
      <c r="O55" s="8" t="str">
        <f t="shared" si="11"/>
        <v>Sim</v>
      </c>
      <c r="P55" s="8" t="str">
        <f t="shared" si="12"/>
        <v>Sim</v>
      </c>
    </row>
    <row r="56" ht="36.75" customHeight="1">
      <c r="A56" s="5">
        <v>44322.433183125</v>
      </c>
      <c r="B56" s="6" t="s">
        <v>37</v>
      </c>
      <c r="C56" s="6" t="s">
        <v>38</v>
      </c>
      <c r="D56" s="7" t="s">
        <v>68</v>
      </c>
      <c r="E56" s="8" t="str">
        <f t="shared" si="1"/>
        <v>Sim</v>
      </c>
      <c r="F56" s="8" t="str">
        <f t="shared" si="2"/>
        <v>Não</v>
      </c>
      <c r="G56" s="8" t="str">
        <f t="shared" si="3"/>
        <v>Sim</v>
      </c>
      <c r="H56" s="8" t="str">
        <f t="shared" si="4"/>
        <v>Não</v>
      </c>
      <c r="I56" s="8" t="str">
        <f t="shared" si="5"/>
        <v>Sim</v>
      </c>
      <c r="J56" s="8" t="str">
        <f t="shared" si="6"/>
        <v>Sim</v>
      </c>
      <c r="K56" s="8" t="str">
        <f t="shared" si="7"/>
        <v>Sim</v>
      </c>
      <c r="L56" s="8" t="str">
        <f t="shared" si="8"/>
        <v>Não</v>
      </c>
      <c r="M56" s="8" t="str">
        <f t="shared" si="9"/>
        <v>Sim</v>
      </c>
      <c r="N56" s="8" t="str">
        <f t="shared" si="10"/>
        <v>Não</v>
      </c>
      <c r="O56" s="8" t="str">
        <f t="shared" si="11"/>
        <v>Sim</v>
      </c>
      <c r="P56" s="8" t="str">
        <f t="shared" si="12"/>
        <v>Sim</v>
      </c>
    </row>
    <row r="57" ht="36.75" hidden="1" customHeight="1">
      <c r="A57" s="5">
        <v>44322.43409697917</v>
      </c>
      <c r="B57" s="6" t="s">
        <v>37</v>
      </c>
      <c r="C57" s="6" t="s">
        <v>38</v>
      </c>
      <c r="D57" s="7" t="s">
        <v>69</v>
      </c>
      <c r="E57" s="8" t="str">
        <f t="shared" si="1"/>
        <v>Sim</v>
      </c>
      <c r="F57" s="8" t="str">
        <f t="shared" si="2"/>
        <v>Não</v>
      </c>
      <c r="G57" s="8" t="str">
        <f t="shared" si="3"/>
        <v>Sim</v>
      </c>
      <c r="H57" s="8" t="str">
        <f t="shared" si="4"/>
        <v>Não</v>
      </c>
      <c r="I57" s="8" t="str">
        <f t="shared" si="5"/>
        <v>Não</v>
      </c>
      <c r="J57" s="8" t="str">
        <f t="shared" si="6"/>
        <v>Não</v>
      </c>
      <c r="K57" s="8" t="str">
        <f t="shared" si="7"/>
        <v>Sim</v>
      </c>
      <c r="L57" s="8" t="str">
        <f t="shared" si="8"/>
        <v>Não</v>
      </c>
      <c r="M57" s="8" t="str">
        <f t="shared" si="9"/>
        <v>Não</v>
      </c>
      <c r="N57" s="8" t="str">
        <f t="shared" si="10"/>
        <v>Não</v>
      </c>
      <c r="O57" s="8" t="str">
        <f t="shared" si="11"/>
        <v>Não</v>
      </c>
      <c r="P57" s="8" t="str">
        <f t="shared" si="12"/>
        <v>Sim</v>
      </c>
    </row>
    <row r="58" ht="36.75" hidden="1" customHeight="1">
      <c r="A58" s="5">
        <v>44322.434600023145</v>
      </c>
      <c r="B58" s="6" t="s">
        <v>37</v>
      </c>
      <c r="C58" s="6" t="s">
        <v>38</v>
      </c>
      <c r="D58" s="7" t="s">
        <v>70</v>
      </c>
      <c r="E58" s="8" t="str">
        <f t="shared" si="1"/>
        <v>Não</v>
      </c>
      <c r="F58" s="8" t="str">
        <f t="shared" si="2"/>
        <v>Não</v>
      </c>
      <c r="G58" s="8" t="str">
        <f t="shared" si="3"/>
        <v>Sim</v>
      </c>
      <c r="H58" s="8" t="str">
        <f t="shared" si="4"/>
        <v>Não</v>
      </c>
      <c r="I58" s="8" t="str">
        <f t="shared" si="5"/>
        <v>Não</v>
      </c>
      <c r="J58" s="8" t="str">
        <f t="shared" si="6"/>
        <v>Sim</v>
      </c>
      <c r="K58" s="8" t="str">
        <f t="shared" si="7"/>
        <v>Não</v>
      </c>
      <c r="L58" s="8" t="str">
        <f t="shared" si="8"/>
        <v>Não</v>
      </c>
      <c r="M58" s="8" t="str">
        <f t="shared" si="9"/>
        <v>Sim</v>
      </c>
      <c r="N58" s="8" t="str">
        <f t="shared" si="10"/>
        <v>Não</v>
      </c>
      <c r="O58" s="8" t="str">
        <f t="shared" si="11"/>
        <v>Não</v>
      </c>
      <c r="P58" s="8" t="str">
        <f t="shared" si="12"/>
        <v>Sim</v>
      </c>
    </row>
    <row r="59" ht="36.75" hidden="1" customHeight="1">
      <c r="A59" s="5">
        <v>44322.4361821875</v>
      </c>
      <c r="B59" s="6" t="s">
        <v>37</v>
      </c>
      <c r="C59" s="6" t="s">
        <v>38</v>
      </c>
      <c r="D59" s="7" t="s">
        <v>71</v>
      </c>
      <c r="E59" s="8" t="str">
        <f t="shared" si="1"/>
        <v>Não</v>
      </c>
      <c r="F59" s="8" t="str">
        <f t="shared" si="2"/>
        <v>Não</v>
      </c>
      <c r="G59" s="8" t="str">
        <f t="shared" si="3"/>
        <v>Sim</v>
      </c>
      <c r="H59" s="8" t="str">
        <f t="shared" si="4"/>
        <v>Sim</v>
      </c>
      <c r="I59" s="8" t="str">
        <f t="shared" si="5"/>
        <v>Sim</v>
      </c>
      <c r="J59" s="8" t="str">
        <f t="shared" si="6"/>
        <v>Sim</v>
      </c>
      <c r="K59" s="8" t="str">
        <f t="shared" si="7"/>
        <v>Não</v>
      </c>
      <c r="L59" s="8" t="str">
        <f t="shared" si="8"/>
        <v>Não</v>
      </c>
      <c r="M59" s="8" t="str">
        <f t="shared" si="9"/>
        <v>Sim</v>
      </c>
      <c r="N59" s="8" t="str">
        <f t="shared" si="10"/>
        <v>Não</v>
      </c>
      <c r="O59" s="8" t="str">
        <f t="shared" si="11"/>
        <v>Não</v>
      </c>
      <c r="P59" s="8" t="str">
        <f t="shared" si="12"/>
        <v>Sim</v>
      </c>
    </row>
    <row r="60" ht="36.75" hidden="1" customHeight="1">
      <c r="A60" s="5">
        <v>44322.440653854166</v>
      </c>
      <c r="B60" s="6" t="s">
        <v>37</v>
      </c>
      <c r="C60" s="6" t="s">
        <v>38</v>
      </c>
      <c r="D60" s="7" t="s">
        <v>72</v>
      </c>
      <c r="E60" s="8" t="str">
        <f t="shared" si="1"/>
        <v>Sim</v>
      </c>
      <c r="F60" s="8" t="str">
        <f t="shared" si="2"/>
        <v>Sim</v>
      </c>
      <c r="G60" s="8" t="str">
        <f t="shared" si="3"/>
        <v>Sim</v>
      </c>
      <c r="H60" s="8" t="str">
        <f t="shared" si="4"/>
        <v>Sim</v>
      </c>
      <c r="I60" s="8" t="str">
        <f t="shared" si="5"/>
        <v>Não</v>
      </c>
      <c r="J60" s="8" t="str">
        <f t="shared" si="6"/>
        <v>Sim</v>
      </c>
      <c r="K60" s="8" t="str">
        <f t="shared" si="7"/>
        <v>Não</v>
      </c>
      <c r="L60" s="8" t="str">
        <f t="shared" si="8"/>
        <v>Não</v>
      </c>
      <c r="M60" s="8" t="str">
        <f t="shared" si="9"/>
        <v>Sim</v>
      </c>
      <c r="N60" s="8" t="str">
        <f t="shared" si="10"/>
        <v>Não</v>
      </c>
      <c r="O60" s="8" t="str">
        <f t="shared" si="11"/>
        <v>Não</v>
      </c>
      <c r="P60" s="8" t="str">
        <f t="shared" si="12"/>
        <v>Sim</v>
      </c>
    </row>
    <row r="61" ht="36.75" hidden="1" customHeight="1">
      <c r="A61" s="5">
        <v>44322.44084391204</v>
      </c>
      <c r="B61" s="6" t="s">
        <v>37</v>
      </c>
      <c r="C61" s="6" t="s">
        <v>38</v>
      </c>
      <c r="D61" s="7" t="s">
        <v>73</v>
      </c>
      <c r="E61" s="8" t="str">
        <f t="shared" si="1"/>
        <v>Não</v>
      </c>
      <c r="F61" s="8" t="str">
        <f t="shared" si="2"/>
        <v>Sim</v>
      </c>
      <c r="G61" s="8" t="str">
        <f t="shared" si="3"/>
        <v>Sim</v>
      </c>
      <c r="H61" s="8" t="str">
        <f t="shared" si="4"/>
        <v>Não</v>
      </c>
      <c r="I61" s="8" t="str">
        <f t="shared" si="5"/>
        <v>Sim</v>
      </c>
      <c r="J61" s="8" t="str">
        <f t="shared" si="6"/>
        <v>Não</v>
      </c>
      <c r="K61" s="8" t="str">
        <f t="shared" si="7"/>
        <v>Não</v>
      </c>
      <c r="L61" s="8" t="str">
        <f t="shared" si="8"/>
        <v>Não</v>
      </c>
      <c r="M61" s="8" t="str">
        <f t="shared" si="9"/>
        <v>Sim</v>
      </c>
      <c r="N61" s="8" t="str">
        <f t="shared" si="10"/>
        <v>Não</v>
      </c>
      <c r="O61" s="8" t="str">
        <f t="shared" si="11"/>
        <v>Não</v>
      </c>
      <c r="P61" s="8" t="str">
        <f t="shared" si="12"/>
        <v>Sim</v>
      </c>
    </row>
    <row r="62" ht="36.75" hidden="1" customHeight="1">
      <c r="A62" s="5">
        <v>44322.440851273146</v>
      </c>
      <c r="B62" s="6" t="s">
        <v>37</v>
      </c>
      <c r="C62" s="6" t="s">
        <v>38</v>
      </c>
      <c r="D62" s="7" t="s">
        <v>21</v>
      </c>
      <c r="E62" s="8" t="str">
        <f t="shared" si="1"/>
        <v>Sim</v>
      </c>
      <c r="F62" s="8" t="str">
        <f t="shared" si="2"/>
        <v>Não</v>
      </c>
      <c r="G62" s="8" t="str">
        <f t="shared" si="3"/>
        <v>Sim</v>
      </c>
      <c r="H62" s="8" t="str">
        <f t="shared" si="4"/>
        <v>Não</v>
      </c>
      <c r="I62" s="8" t="str">
        <f t="shared" si="5"/>
        <v>Não</v>
      </c>
      <c r="J62" s="8" t="str">
        <f t="shared" si="6"/>
        <v>Sim</v>
      </c>
      <c r="K62" s="8" t="str">
        <f t="shared" si="7"/>
        <v>Não</v>
      </c>
      <c r="L62" s="8" t="str">
        <f t="shared" si="8"/>
        <v>Não</v>
      </c>
      <c r="M62" s="8" t="str">
        <f t="shared" si="9"/>
        <v>Não</v>
      </c>
      <c r="N62" s="8" t="str">
        <f t="shared" si="10"/>
        <v>Não</v>
      </c>
      <c r="O62" s="8" t="str">
        <f t="shared" si="11"/>
        <v>Não</v>
      </c>
      <c r="P62" s="8" t="str">
        <f t="shared" si="12"/>
        <v>Sim</v>
      </c>
    </row>
    <row r="63" ht="36.75" hidden="1" customHeight="1">
      <c r="A63" s="5">
        <v>44322.441013206015</v>
      </c>
      <c r="B63" s="6" t="s">
        <v>37</v>
      </c>
      <c r="C63" s="6" t="s">
        <v>38</v>
      </c>
      <c r="D63" s="7" t="s">
        <v>53</v>
      </c>
      <c r="E63" s="8" t="str">
        <f t="shared" si="1"/>
        <v>Não</v>
      </c>
      <c r="F63" s="8" t="str">
        <f t="shared" si="2"/>
        <v>Não</v>
      </c>
      <c r="G63" s="8" t="str">
        <f t="shared" si="3"/>
        <v>Sim</v>
      </c>
      <c r="H63" s="8" t="str">
        <f t="shared" si="4"/>
        <v>Sim</v>
      </c>
      <c r="I63" s="8" t="str">
        <f t="shared" si="5"/>
        <v>Não</v>
      </c>
      <c r="J63" s="8" t="str">
        <f t="shared" si="6"/>
        <v>Sim</v>
      </c>
      <c r="K63" s="8" t="str">
        <f t="shared" si="7"/>
        <v>Não</v>
      </c>
      <c r="L63" s="8" t="str">
        <f t="shared" si="8"/>
        <v>Não</v>
      </c>
      <c r="M63" s="8" t="str">
        <f t="shared" si="9"/>
        <v>Sim</v>
      </c>
      <c r="N63" s="8" t="str">
        <f t="shared" si="10"/>
        <v>Não</v>
      </c>
      <c r="O63" s="8" t="str">
        <f t="shared" si="11"/>
        <v>Não</v>
      </c>
      <c r="P63" s="8" t="str">
        <f t="shared" si="12"/>
        <v>Sim</v>
      </c>
    </row>
    <row r="64" ht="36.75" customHeight="1">
      <c r="A64" s="5">
        <v>44322.44316064815</v>
      </c>
      <c r="B64" s="6" t="s">
        <v>37</v>
      </c>
      <c r="C64" s="6" t="s">
        <v>38</v>
      </c>
      <c r="D64" s="7" t="s">
        <v>74</v>
      </c>
      <c r="E64" s="8" t="str">
        <f t="shared" si="1"/>
        <v>Sim</v>
      </c>
      <c r="F64" s="8" t="str">
        <f t="shared" si="2"/>
        <v>Sim</v>
      </c>
      <c r="G64" s="8" t="str">
        <f t="shared" si="3"/>
        <v>Sim</v>
      </c>
      <c r="H64" s="8" t="str">
        <f t="shared" si="4"/>
        <v>Não</v>
      </c>
      <c r="I64" s="8" t="str">
        <f t="shared" si="5"/>
        <v>Sim</v>
      </c>
      <c r="J64" s="8" t="str">
        <f t="shared" si="6"/>
        <v>Sim</v>
      </c>
      <c r="K64" s="8" t="str">
        <f t="shared" si="7"/>
        <v>Sim</v>
      </c>
      <c r="L64" s="8" t="str">
        <f t="shared" si="8"/>
        <v>Não</v>
      </c>
      <c r="M64" s="8" t="str">
        <f t="shared" si="9"/>
        <v>Sim</v>
      </c>
      <c r="N64" s="8" t="str">
        <f t="shared" si="10"/>
        <v>Sim</v>
      </c>
      <c r="O64" s="8" t="str">
        <f t="shared" si="11"/>
        <v>Sim</v>
      </c>
      <c r="P64" s="8" t="str">
        <f t="shared" si="12"/>
        <v>Sim</v>
      </c>
    </row>
    <row r="65" ht="36.75" hidden="1" customHeight="1">
      <c r="A65" s="5">
        <v>44322.44532802083</v>
      </c>
      <c r="B65" s="6" t="s">
        <v>37</v>
      </c>
      <c r="C65" s="6" t="s">
        <v>38</v>
      </c>
      <c r="D65" s="7" t="s">
        <v>75</v>
      </c>
      <c r="E65" s="8" t="str">
        <f t="shared" si="1"/>
        <v>Sim</v>
      </c>
      <c r="F65" s="8" t="str">
        <f t="shared" si="2"/>
        <v>Sim</v>
      </c>
      <c r="G65" s="8" t="str">
        <f t="shared" si="3"/>
        <v>Sim</v>
      </c>
      <c r="H65" s="8" t="str">
        <f t="shared" si="4"/>
        <v>Não</v>
      </c>
      <c r="I65" s="8" t="str">
        <f t="shared" si="5"/>
        <v>Não</v>
      </c>
      <c r="J65" s="8" t="str">
        <f t="shared" si="6"/>
        <v>Sim</v>
      </c>
      <c r="K65" s="8" t="str">
        <f t="shared" si="7"/>
        <v>Não</v>
      </c>
      <c r="L65" s="8" t="str">
        <f t="shared" si="8"/>
        <v>Não</v>
      </c>
      <c r="M65" s="8" t="str">
        <f t="shared" si="9"/>
        <v>Sim</v>
      </c>
      <c r="N65" s="8" t="str">
        <f t="shared" si="10"/>
        <v>Sim</v>
      </c>
      <c r="O65" s="8" t="str">
        <f t="shared" si="11"/>
        <v>Não</v>
      </c>
      <c r="P65" s="8" t="str">
        <f t="shared" si="12"/>
        <v>Sim</v>
      </c>
    </row>
    <row r="66" ht="36.75" hidden="1" customHeight="1">
      <c r="A66" s="5">
        <v>44322.446003680554</v>
      </c>
      <c r="B66" s="6" t="s">
        <v>37</v>
      </c>
      <c r="C66" s="6" t="s">
        <v>38</v>
      </c>
      <c r="D66" s="7" t="s">
        <v>76</v>
      </c>
      <c r="E66" s="8" t="str">
        <f t="shared" si="1"/>
        <v>Sim</v>
      </c>
      <c r="F66" s="8" t="str">
        <f t="shared" si="2"/>
        <v>Não</v>
      </c>
      <c r="G66" s="8" t="str">
        <f t="shared" si="3"/>
        <v>Não</v>
      </c>
      <c r="H66" s="8" t="str">
        <f t="shared" si="4"/>
        <v>Não</v>
      </c>
      <c r="I66" s="8" t="str">
        <f t="shared" si="5"/>
        <v>Não</v>
      </c>
      <c r="J66" s="8" t="str">
        <f t="shared" si="6"/>
        <v>Não</v>
      </c>
      <c r="K66" s="8" t="str">
        <f t="shared" si="7"/>
        <v>Não</v>
      </c>
      <c r="L66" s="8" t="str">
        <f t="shared" si="8"/>
        <v>Não</v>
      </c>
      <c r="M66" s="8" t="str">
        <f t="shared" si="9"/>
        <v>Não</v>
      </c>
      <c r="N66" s="8" t="str">
        <f t="shared" si="10"/>
        <v>Não</v>
      </c>
      <c r="O66" s="8" t="str">
        <f t="shared" si="11"/>
        <v>Não</v>
      </c>
      <c r="P66" s="8" t="str">
        <f t="shared" si="12"/>
        <v>Sim</v>
      </c>
    </row>
    <row r="67" ht="36.75" hidden="1" customHeight="1">
      <c r="A67" s="5">
        <v>44322.446680625</v>
      </c>
      <c r="B67" s="6" t="s">
        <v>37</v>
      </c>
      <c r="C67" s="6" t="s">
        <v>38</v>
      </c>
      <c r="D67" s="7" t="s">
        <v>53</v>
      </c>
      <c r="E67" s="8" t="str">
        <f t="shared" si="1"/>
        <v>Não</v>
      </c>
      <c r="F67" s="8" t="str">
        <f t="shared" si="2"/>
        <v>Não</v>
      </c>
      <c r="G67" s="8" t="str">
        <f t="shared" si="3"/>
        <v>Sim</v>
      </c>
      <c r="H67" s="8" t="str">
        <f t="shared" si="4"/>
        <v>Sim</v>
      </c>
      <c r="I67" s="8" t="str">
        <f t="shared" si="5"/>
        <v>Não</v>
      </c>
      <c r="J67" s="8" t="str">
        <f t="shared" si="6"/>
        <v>Sim</v>
      </c>
      <c r="K67" s="8" t="str">
        <f t="shared" si="7"/>
        <v>Não</v>
      </c>
      <c r="L67" s="8" t="str">
        <f t="shared" si="8"/>
        <v>Não</v>
      </c>
      <c r="M67" s="8" t="str">
        <f t="shared" si="9"/>
        <v>Sim</v>
      </c>
      <c r="N67" s="8" t="str">
        <f t="shared" si="10"/>
        <v>Não</v>
      </c>
      <c r="O67" s="8" t="str">
        <f t="shared" si="11"/>
        <v>Não</v>
      </c>
      <c r="P67" s="8" t="str">
        <f t="shared" si="12"/>
        <v>Sim</v>
      </c>
    </row>
    <row r="68" ht="36.75" hidden="1" customHeight="1">
      <c r="A68" s="5">
        <v>44322.44745519676</v>
      </c>
      <c r="B68" s="6" t="s">
        <v>37</v>
      </c>
      <c r="C68" s="6" t="s">
        <v>38</v>
      </c>
      <c r="D68" s="7" t="s">
        <v>77</v>
      </c>
      <c r="E68" s="8" t="str">
        <f t="shared" si="1"/>
        <v>Sim</v>
      </c>
      <c r="F68" s="8" t="str">
        <f t="shared" si="2"/>
        <v>Não</v>
      </c>
      <c r="G68" s="8" t="str">
        <f t="shared" si="3"/>
        <v>Sim</v>
      </c>
      <c r="H68" s="8" t="str">
        <f t="shared" si="4"/>
        <v>Não</v>
      </c>
      <c r="I68" s="8" t="str">
        <f t="shared" si="5"/>
        <v>Não</v>
      </c>
      <c r="J68" s="8" t="str">
        <f t="shared" si="6"/>
        <v>Sim</v>
      </c>
      <c r="K68" s="8" t="str">
        <f t="shared" si="7"/>
        <v>Não</v>
      </c>
      <c r="L68" s="8" t="str">
        <f t="shared" si="8"/>
        <v>Não</v>
      </c>
      <c r="M68" s="8" t="str">
        <f t="shared" si="9"/>
        <v>Sim</v>
      </c>
      <c r="N68" s="8" t="str">
        <f t="shared" si="10"/>
        <v>Não</v>
      </c>
      <c r="O68" s="8" t="str">
        <f t="shared" si="11"/>
        <v>Não</v>
      </c>
      <c r="P68" s="8" t="str">
        <f t="shared" si="12"/>
        <v>Sim</v>
      </c>
    </row>
    <row r="69" ht="36.75" hidden="1" customHeight="1">
      <c r="A69" s="5">
        <v>44322.44771049768</v>
      </c>
      <c r="B69" s="6" t="s">
        <v>37</v>
      </c>
      <c r="C69" s="6" t="s">
        <v>38</v>
      </c>
      <c r="D69" s="7" t="s">
        <v>21</v>
      </c>
      <c r="E69" s="8" t="str">
        <f t="shared" si="1"/>
        <v>Sim</v>
      </c>
      <c r="F69" s="8" t="str">
        <f t="shared" si="2"/>
        <v>Não</v>
      </c>
      <c r="G69" s="8" t="str">
        <f t="shared" si="3"/>
        <v>Sim</v>
      </c>
      <c r="H69" s="8" t="str">
        <f t="shared" si="4"/>
        <v>Não</v>
      </c>
      <c r="I69" s="8" t="str">
        <f t="shared" si="5"/>
        <v>Não</v>
      </c>
      <c r="J69" s="8" t="str">
        <f t="shared" si="6"/>
        <v>Sim</v>
      </c>
      <c r="K69" s="8" t="str">
        <f t="shared" si="7"/>
        <v>Não</v>
      </c>
      <c r="L69" s="8" t="str">
        <f t="shared" si="8"/>
        <v>Não</v>
      </c>
      <c r="M69" s="8" t="str">
        <f t="shared" si="9"/>
        <v>Não</v>
      </c>
      <c r="N69" s="8" t="str">
        <f t="shared" si="10"/>
        <v>Não</v>
      </c>
      <c r="O69" s="8" t="str">
        <f t="shared" si="11"/>
        <v>Não</v>
      </c>
      <c r="P69" s="8" t="str">
        <f t="shared" si="12"/>
        <v>Sim</v>
      </c>
    </row>
    <row r="70" ht="36.75" hidden="1" customHeight="1">
      <c r="A70" s="5">
        <v>44322.45628195602</v>
      </c>
      <c r="B70" s="6" t="s">
        <v>37</v>
      </c>
      <c r="C70" s="6" t="s">
        <v>38</v>
      </c>
      <c r="D70" s="7" t="s">
        <v>78</v>
      </c>
      <c r="E70" s="8" t="str">
        <f t="shared" si="1"/>
        <v>Não</v>
      </c>
      <c r="F70" s="8" t="str">
        <f t="shared" si="2"/>
        <v>Não</v>
      </c>
      <c r="G70" s="8" t="str">
        <f t="shared" si="3"/>
        <v>Sim</v>
      </c>
      <c r="H70" s="8" t="str">
        <f t="shared" si="4"/>
        <v>Não</v>
      </c>
      <c r="I70" s="8" t="str">
        <f t="shared" si="5"/>
        <v>Não</v>
      </c>
      <c r="J70" s="8" t="str">
        <f t="shared" si="6"/>
        <v>Não</v>
      </c>
      <c r="K70" s="8" t="str">
        <f t="shared" si="7"/>
        <v>Não</v>
      </c>
      <c r="L70" s="8" t="str">
        <f t="shared" si="8"/>
        <v>Sim</v>
      </c>
      <c r="M70" s="8" t="str">
        <f t="shared" si="9"/>
        <v>Sim</v>
      </c>
      <c r="N70" s="8" t="str">
        <f t="shared" si="10"/>
        <v>Não</v>
      </c>
      <c r="O70" s="8" t="str">
        <f t="shared" si="11"/>
        <v>Não</v>
      </c>
      <c r="P70" s="8" t="str">
        <f t="shared" si="12"/>
        <v>Sim</v>
      </c>
    </row>
    <row r="71" ht="36.75" hidden="1" customHeight="1">
      <c r="A71" s="5">
        <v>44322.459771423615</v>
      </c>
      <c r="B71" s="6" t="s">
        <v>37</v>
      </c>
      <c r="C71" s="6" t="s">
        <v>38</v>
      </c>
      <c r="D71" s="7" t="s">
        <v>79</v>
      </c>
      <c r="E71" s="8" t="str">
        <f t="shared" si="1"/>
        <v>Sim</v>
      </c>
      <c r="F71" s="8" t="str">
        <f t="shared" si="2"/>
        <v>Não</v>
      </c>
      <c r="G71" s="8" t="str">
        <f t="shared" si="3"/>
        <v>Sim</v>
      </c>
      <c r="H71" s="8" t="str">
        <f t="shared" si="4"/>
        <v>Sim</v>
      </c>
      <c r="I71" s="8" t="str">
        <f t="shared" si="5"/>
        <v>Não</v>
      </c>
      <c r="J71" s="8" t="str">
        <f t="shared" si="6"/>
        <v>Sim</v>
      </c>
      <c r="K71" s="8" t="str">
        <f t="shared" si="7"/>
        <v>Não</v>
      </c>
      <c r="L71" s="8" t="str">
        <f t="shared" si="8"/>
        <v>Não</v>
      </c>
      <c r="M71" s="8" t="str">
        <f t="shared" si="9"/>
        <v>Sim</v>
      </c>
      <c r="N71" s="8" t="str">
        <f t="shared" si="10"/>
        <v>Não</v>
      </c>
      <c r="O71" s="8" t="str">
        <f t="shared" si="11"/>
        <v>Não</v>
      </c>
      <c r="P71" s="8" t="str">
        <f t="shared" si="12"/>
        <v>Sim</v>
      </c>
    </row>
    <row r="72" ht="36.75" hidden="1" customHeight="1">
      <c r="A72" s="5">
        <v>44322.46532072917</v>
      </c>
      <c r="B72" s="6" t="s">
        <v>37</v>
      </c>
      <c r="C72" s="6" t="s">
        <v>38</v>
      </c>
      <c r="D72" s="7" t="s">
        <v>80</v>
      </c>
      <c r="E72" s="8" t="str">
        <f t="shared" si="1"/>
        <v>Não</v>
      </c>
      <c r="F72" s="8" t="str">
        <f t="shared" si="2"/>
        <v>Sim</v>
      </c>
      <c r="G72" s="8" t="str">
        <f t="shared" si="3"/>
        <v>Sim</v>
      </c>
      <c r="H72" s="8" t="str">
        <f t="shared" si="4"/>
        <v>Sim</v>
      </c>
      <c r="I72" s="8" t="str">
        <f t="shared" si="5"/>
        <v>Não</v>
      </c>
      <c r="J72" s="8" t="str">
        <f t="shared" si="6"/>
        <v>Sim</v>
      </c>
      <c r="K72" s="8" t="str">
        <f t="shared" si="7"/>
        <v>Não</v>
      </c>
      <c r="L72" s="8" t="str">
        <f t="shared" si="8"/>
        <v>Não</v>
      </c>
      <c r="M72" s="8" t="str">
        <f t="shared" si="9"/>
        <v>Sim</v>
      </c>
      <c r="N72" s="8" t="str">
        <f t="shared" si="10"/>
        <v>Sim</v>
      </c>
      <c r="O72" s="8" t="str">
        <f t="shared" si="11"/>
        <v>Não</v>
      </c>
      <c r="P72" s="8" t="str">
        <f t="shared" si="12"/>
        <v>Sim</v>
      </c>
    </row>
    <row r="73" ht="36.75" hidden="1" customHeight="1">
      <c r="A73" s="5">
        <v>44322.474630798606</v>
      </c>
      <c r="B73" s="6" t="s">
        <v>37</v>
      </c>
      <c r="C73" s="6" t="s">
        <v>38</v>
      </c>
      <c r="D73" s="7" t="s">
        <v>21</v>
      </c>
      <c r="E73" s="8" t="str">
        <f t="shared" si="1"/>
        <v>Sim</v>
      </c>
      <c r="F73" s="8" t="str">
        <f t="shared" si="2"/>
        <v>Não</v>
      </c>
      <c r="G73" s="8" t="str">
        <f t="shared" si="3"/>
        <v>Sim</v>
      </c>
      <c r="H73" s="8" t="str">
        <f t="shared" si="4"/>
        <v>Não</v>
      </c>
      <c r="I73" s="8" t="str">
        <f t="shared" si="5"/>
        <v>Não</v>
      </c>
      <c r="J73" s="8" t="str">
        <f t="shared" si="6"/>
        <v>Sim</v>
      </c>
      <c r="K73" s="8" t="str">
        <f t="shared" si="7"/>
        <v>Não</v>
      </c>
      <c r="L73" s="8" t="str">
        <f t="shared" si="8"/>
        <v>Não</v>
      </c>
      <c r="M73" s="8" t="str">
        <f t="shared" si="9"/>
        <v>Não</v>
      </c>
      <c r="N73" s="8" t="str">
        <f t="shared" si="10"/>
        <v>Não</v>
      </c>
      <c r="O73" s="8" t="str">
        <f t="shared" si="11"/>
        <v>Não</v>
      </c>
      <c r="P73" s="8" t="str">
        <f t="shared" si="12"/>
        <v>Sim</v>
      </c>
    </row>
    <row r="74" ht="36.75" hidden="1" customHeight="1">
      <c r="A74" s="5">
        <v>44322.4863918287</v>
      </c>
      <c r="B74" s="6" t="s">
        <v>37</v>
      </c>
      <c r="C74" s="6" t="s">
        <v>38</v>
      </c>
      <c r="D74" s="7" t="s">
        <v>81</v>
      </c>
      <c r="E74" s="8" t="str">
        <f t="shared" si="1"/>
        <v>Sim</v>
      </c>
      <c r="F74" s="8" t="str">
        <f t="shared" si="2"/>
        <v>Sim</v>
      </c>
      <c r="G74" s="8" t="str">
        <f t="shared" si="3"/>
        <v>Não</v>
      </c>
      <c r="H74" s="8" t="str">
        <f t="shared" si="4"/>
        <v>Não</v>
      </c>
      <c r="I74" s="8" t="str">
        <f t="shared" si="5"/>
        <v>Sim</v>
      </c>
      <c r="J74" s="8" t="str">
        <f t="shared" si="6"/>
        <v>Sim</v>
      </c>
      <c r="K74" s="8" t="str">
        <f t="shared" si="7"/>
        <v>Não</v>
      </c>
      <c r="L74" s="8" t="str">
        <f t="shared" si="8"/>
        <v>Não</v>
      </c>
      <c r="M74" s="8" t="str">
        <f t="shared" si="9"/>
        <v>Sim</v>
      </c>
      <c r="N74" s="8" t="str">
        <f t="shared" si="10"/>
        <v>Não</v>
      </c>
      <c r="O74" s="8" t="str">
        <f t="shared" si="11"/>
        <v>Não</v>
      </c>
      <c r="P74" s="8" t="str">
        <f t="shared" si="12"/>
        <v>Sim</v>
      </c>
    </row>
    <row r="75" ht="36.75" hidden="1" customHeight="1">
      <c r="A75" s="5">
        <v>44322.48748146991</v>
      </c>
      <c r="B75" s="6" t="s">
        <v>37</v>
      </c>
      <c r="C75" s="6" t="s">
        <v>38</v>
      </c>
      <c r="D75" s="7" t="s">
        <v>82</v>
      </c>
      <c r="E75" s="8" t="str">
        <f t="shared" si="1"/>
        <v>Sim</v>
      </c>
      <c r="F75" s="8" t="str">
        <f t="shared" si="2"/>
        <v>Não</v>
      </c>
      <c r="G75" s="8" t="str">
        <f t="shared" si="3"/>
        <v>Sim</v>
      </c>
      <c r="H75" s="8" t="str">
        <f t="shared" si="4"/>
        <v>Não</v>
      </c>
      <c r="I75" s="8" t="str">
        <f t="shared" si="5"/>
        <v>Não</v>
      </c>
      <c r="J75" s="8" t="str">
        <f t="shared" si="6"/>
        <v>Sim</v>
      </c>
      <c r="K75" s="8" t="str">
        <f t="shared" si="7"/>
        <v>Não</v>
      </c>
      <c r="L75" s="8" t="str">
        <f t="shared" si="8"/>
        <v>Sim</v>
      </c>
      <c r="M75" s="8" t="str">
        <f t="shared" si="9"/>
        <v>Não</v>
      </c>
      <c r="N75" s="8" t="str">
        <f t="shared" si="10"/>
        <v>Não</v>
      </c>
      <c r="O75" s="8" t="str">
        <f t="shared" si="11"/>
        <v>Não</v>
      </c>
      <c r="P75" s="8" t="str">
        <f t="shared" si="12"/>
        <v>Sim</v>
      </c>
    </row>
    <row r="76" ht="36.75" customHeight="1">
      <c r="A76" s="5">
        <v>44322.49451390046</v>
      </c>
      <c r="B76" s="6" t="s">
        <v>37</v>
      </c>
      <c r="C76" s="6" t="s">
        <v>38</v>
      </c>
      <c r="D76" s="7" t="s">
        <v>83</v>
      </c>
      <c r="E76" s="8" t="str">
        <f t="shared" si="1"/>
        <v>Não</v>
      </c>
      <c r="F76" s="8" t="str">
        <f t="shared" si="2"/>
        <v>Não</v>
      </c>
      <c r="G76" s="8" t="str">
        <f t="shared" si="3"/>
        <v>Sim</v>
      </c>
      <c r="H76" s="8" t="str">
        <f t="shared" si="4"/>
        <v>Não</v>
      </c>
      <c r="I76" s="8" t="str">
        <f t="shared" si="5"/>
        <v>Não</v>
      </c>
      <c r="J76" s="8" t="str">
        <f t="shared" si="6"/>
        <v>Sim</v>
      </c>
      <c r="K76" s="8" t="str">
        <f t="shared" si="7"/>
        <v>Não</v>
      </c>
      <c r="L76" s="8" t="str">
        <f t="shared" si="8"/>
        <v>Sim</v>
      </c>
      <c r="M76" s="8" t="str">
        <f t="shared" si="9"/>
        <v>Sim</v>
      </c>
      <c r="N76" s="8" t="str">
        <f t="shared" si="10"/>
        <v>Sim</v>
      </c>
      <c r="O76" s="8" t="str">
        <f t="shared" si="11"/>
        <v>Sim</v>
      </c>
      <c r="P76" s="8" t="str">
        <f t="shared" si="12"/>
        <v>Sim</v>
      </c>
    </row>
    <row r="77" ht="36.75" customHeight="1">
      <c r="A77" s="5">
        <v>44322.49821982639</v>
      </c>
      <c r="B77" s="6" t="s">
        <v>37</v>
      </c>
      <c r="C77" s="6" t="s">
        <v>38</v>
      </c>
      <c r="D77" s="7" t="s">
        <v>84</v>
      </c>
      <c r="E77" s="8" t="str">
        <f t="shared" si="1"/>
        <v>Sim</v>
      </c>
      <c r="F77" s="8" t="str">
        <f t="shared" si="2"/>
        <v>Não</v>
      </c>
      <c r="G77" s="8" t="str">
        <f t="shared" si="3"/>
        <v>Sim</v>
      </c>
      <c r="H77" s="8" t="str">
        <f t="shared" si="4"/>
        <v>Não</v>
      </c>
      <c r="I77" s="8" t="str">
        <f t="shared" si="5"/>
        <v>Sim</v>
      </c>
      <c r="J77" s="8" t="str">
        <f t="shared" si="6"/>
        <v>Não</v>
      </c>
      <c r="K77" s="8" t="str">
        <f t="shared" si="7"/>
        <v>Sim</v>
      </c>
      <c r="L77" s="8" t="str">
        <f t="shared" si="8"/>
        <v>Não</v>
      </c>
      <c r="M77" s="8" t="str">
        <f t="shared" si="9"/>
        <v>Sim</v>
      </c>
      <c r="N77" s="8" t="str">
        <f t="shared" si="10"/>
        <v>Sim</v>
      </c>
      <c r="O77" s="8" t="str">
        <f t="shared" si="11"/>
        <v>Sim</v>
      </c>
      <c r="P77" s="8" t="str">
        <f t="shared" si="12"/>
        <v>Sim</v>
      </c>
    </row>
    <row r="78" ht="36.75" hidden="1" customHeight="1">
      <c r="A78" s="5">
        <v>44322.50640518518</v>
      </c>
      <c r="B78" s="6" t="s">
        <v>37</v>
      </c>
      <c r="C78" s="6" t="s">
        <v>38</v>
      </c>
      <c r="D78" s="7" t="s">
        <v>21</v>
      </c>
      <c r="E78" s="8" t="str">
        <f t="shared" si="1"/>
        <v>Sim</v>
      </c>
      <c r="F78" s="8" t="str">
        <f t="shared" si="2"/>
        <v>Não</v>
      </c>
      <c r="G78" s="8" t="str">
        <f t="shared" si="3"/>
        <v>Sim</v>
      </c>
      <c r="H78" s="8" t="str">
        <f t="shared" si="4"/>
        <v>Não</v>
      </c>
      <c r="I78" s="8" t="str">
        <f t="shared" si="5"/>
        <v>Não</v>
      </c>
      <c r="J78" s="8" t="str">
        <f t="shared" si="6"/>
        <v>Sim</v>
      </c>
      <c r="K78" s="8" t="str">
        <f t="shared" si="7"/>
        <v>Não</v>
      </c>
      <c r="L78" s="8" t="str">
        <f t="shared" si="8"/>
        <v>Não</v>
      </c>
      <c r="M78" s="8" t="str">
        <f t="shared" si="9"/>
        <v>Não</v>
      </c>
      <c r="N78" s="8" t="str">
        <f t="shared" si="10"/>
        <v>Não</v>
      </c>
      <c r="O78" s="8" t="str">
        <f t="shared" si="11"/>
        <v>Não</v>
      </c>
      <c r="P78" s="8" t="str">
        <f t="shared" si="12"/>
        <v>Sim</v>
      </c>
    </row>
    <row r="79" ht="36.75" hidden="1" customHeight="1">
      <c r="A79" s="5">
        <v>44322.51359715278</v>
      </c>
      <c r="B79" s="6" t="s">
        <v>37</v>
      </c>
      <c r="C79" s="6" t="s">
        <v>38</v>
      </c>
      <c r="D79" s="7" t="s">
        <v>85</v>
      </c>
      <c r="E79" s="8" t="str">
        <f t="shared" si="1"/>
        <v>Não</v>
      </c>
      <c r="F79" s="8" t="str">
        <f t="shared" si="2"/>
        <v>Não</v>
      </c>
      <c r="G79" s="8" t="str">
        <f t="shared" si="3"/>
        <v>Sim</v>
      </c>
      <c r="H79" s="8" t="str">
        <f t="shared" si="4"/>
        <v>Não</v>
      </c>
      <c r="I79" s="8" t="str">
        <f t="shared" si="5"/>
        <v>Sim</v>
      </c>
      <c r="J79" s="8" t="str">
        <f t="shared" si="6"/>
        <v>Sim</v>
      </c>
      <c r="K79" s="8" t="str">
        <f t="shared" si="7"/>
        <v>Não</v>
      </c>
      <c r="L79" s="8" t="str">
        <f t="shared" si="8"/>
        <v>Não</v>
      </c>
      <c r="M79" s="8" t="str">
        <f t="shared" si="9"/>
        <v>Não</v>
      </c>
      <c r="N79" s="8" t="str">
        <f t="shared" si="10"/>
        <v>Não</v>
      </c>
      <c r="O79" s="8" t="str">
        <f t="shared" si="11"/>
        <v>Não</v>
      </c>
      <c r="P79" s="8" t="str">
        <f t="shared" si="12"/>
        <v>Sim</v>
      </c>
    </row>
    <row r="80" ht="36.75" hidden="1" customHeight="1">
      <c r="A80" s="5">
        <v>44322.51804219907</v>
      </c>
      <c r="B80" s="6" t="s">
        <v>37</v>
      </c>
      <c r="C80" s="6" t="s">
        <v>38</v>
      </c>
      <c r="D80" s="7" t="s">
        <v>86</v>
      </c>
      <c r="E80" s="8" t="str">
        <f t="shared" si="1"/>
        <v>Não</v>
      </c>
      <c r="F80" s="8" t="str">
        <f t="shared" si="2"/>
        <v>Não</v>
      </c>
      <c r="G80" s="8" t="str">
        <f t="shared" si="3"/>
        <v>Sim</v>
      </c>
      <c r="H80" s="8" t="str">
        <f t="shared" si="4"/>
        <v>Sim</v>
      </c>
      <c r="I80" s="8" t="str">
        <f t="shared" si="5"/>
        <v>Não</v>
      </c>
      <c r="J80" s="8" t="str">
        <f t="shared" si="6"/>
        <v>Sim</v>
      </c>
      <c r="K80" s="8" t="str">
        <f t="shared" si="7"/>
        <v>Não</v>
      </c>
      <c r="L80" s="8" t="str">
        <f t="shared" si="8"/>
        <v>Não</v>
      </c>
      <c r="M80" s="8" t="str">
        <f t="shared" si="9"/>
        <v>Não</v>
      </c>
      <c r="N80" s="8" t="str">
        <f t="shared" si="10"/>
        <v>Não</v>
      </c>
      <c r="O80" s="8" t="str">
        <f t="shared" si="11"/>
        <v>Não</v>
      </c>
      <c r="P80" s="8" t="str">
        <f t="shared" si="12"/>
        <v>Não</v>
      </c>
    </row>
    <row r="81" ht="36.75" hidden="1" customHeight="1">
      <c r="A81" s="5">
        <v>44322.51914395833</v>
      </c>
      <c r="B81" s="6" t="s">
        <v>37</v>
      </c>
      <c r="C81" s="6" t="s">
        <v>38</v>
      </c>
      <c r="D81" s="7" t="s">
        <v>87</v>
      </c>
      <c r="E81" s="8" t="str">
        <f t="shared" si="1"/>
        <v>Sim</v>
      </c>
      <c r="F81" s="8" t="str">
        <f t="shared" si="2"/>
        <v>Sim</v>
      </c>
      <c r="G81" s="8" t="str">
        <f t="shared" si="3"/>
        <v>Sim</v>
      </c>
      <c r="H81" s="8" t="str">
        <f t="shared" si="4"/>
        <v>Não</v>
      </c>
      <c r="I81" s="8" t="str">
        <f t="shared" si="5"/>
        <v>Não</v>
      </c>
      <c r="J81" s="8" t="str">
        <f t="shared" si="6"/>
        <v>Não</v>
      </c>
      <c r="K81" s="8" t="str">
        <f t="shared" si="7"/>
        <v>Sim</v>
      </c>
      <c r="L81" s="8" t="str">
        <f t="shared" si="8"/>
        <v>Não</v>
      </c>
      <c r="M81" s="8" t="str">
        <f t="shared" si="9"/>
        <v>Sim</v>
      </c>
      <c r="N81" s="8" t="str">
        <f t="shared" si="10"/>
        <v>Sim</v>
      </c>
      <c r="O81" s="8" t="str">
        <f t="shared" si="11"/>
        <v>Não</v>
      </c>
      <c r="P81" s="8" t="str">
        <f t="shared" si="12"/>
        <v>Não</v>
      </c>
    </row>
    <row r="82" ht="36.75" hidden="1" customHeight="1">
      <c r="A82" s="5">
        <v>44322.53063435185</v>
      </c>
      <c r="B82" s="6" t="s">
        <v>37</v>
      </c>
      <c r="C82" s="6" t="s">
        <v>38</v>
      </c>
      <c r="D82" s="7" t="s">
        <v>88</v>
      </c>
      <c r="E82" s="8" t="str">
        <f t="shared" si="1"/>
        <v>Sim</v>
      </c>
      <c r="F82" s="8" t="str">
        <f t="shared" si="2"/>
        <v>Não</v>
      </c>
      <c r="G82" s="8" t="str">
        <f t="shared" si="3"/>
        <v>Sim</v>
      </c>
      <c r="H82" s="8" t="str">
        <f t="shared" si="4"/>
        <v>Sim</v>
      </c>
      <c r="I82" s="8" t="str">
        <f t="shared" si="5"/>
        <v>Sim</v>
      </c>
      <c r="J82" s="8" t="str">
        <f t="shared" si="6"/>
        <v>Sim</v>
      </c>
      <c r="K82" s="8" t="str">
        <f t="shared" si="7"/>
        <v>Não</v>
      </c>
      <c r="L82" s="8" t="str">
        <f t="shared" si="8"/>
        <v>Sim</v>
      </c>
      <c r="M82" s="8" t="str">
        <f t="shared" si="9"/>
        <v>Sim</v>
      </c>
      <c r="N82" s="8" t="str">
        <f t="shared" si="10"/>
        <v>Não</v>
      </c>
      <c r="O82" s="8" t="str">
        <f t="shared" si="11"/>
        <v>Não</v>
      </c>
      <c r="P82" s="8" t="str">
        <f t="shared" si="12"/>
        <v>Sim</v>
      </c>
    </row>
    <row r="83" ht="36.75" customHeight="1">
      <c r="A83" s="5">
        <v>44322.53263090277</v>
      </c>
      <c r="B83" s="6" t="s">
        <v>37</v>
      </c>
      <c r="C83" s="6" t="s">
        <v>38</v>
      </c>
      <c r="D83" s="7" t="s">
        <v>89</v>
      </c>
      <c r="E83" s="8" t="str">
        <f t="shared" si="1"/>
        <v>Sim</v>
      </c>
      <c r="F83" s="8" t="str">
        <f t="shared" si="2"/>
        <v>Sim</v>
      </c>
      <c r="G83" s="8" t="str">
        <f t="shared" si="3"/>
        <v>Sim</v>
      </c>
      <c r="H83" s="8" t="str">
        <f t="shared" si="4"/>
        <v>Sim</v>
      </c>
      <c r="I83" s="8" t="str">
        <f t="shared" si="5"/>
        <v>Sim</v>
      </c>
      <c r="J83" s="8" t="str">
        <f t="shared" si="6"/>
        <v>Sim</v>
      </c>
      <c r="K83" s="8" t="str">
        <f t="shared" si="7"/>
        <v>Sim</v>
      </c>
      <c r="L83" s="8" t="str">
        <f t="shared" si="8"/>
        <v>Não</v>
      </c>
      <c r="M83" s="8" t="str">
        <f t="shared" si="9"/>
        <v>Sim</v>
      </c>
      <c r="N83" s="8" t="str">
        <f t="shared" si="10"/>
        <v>Não</v>
      </c>
      <c r="O83" s="8" t="str">
        <f t="shared" si="11"/>
        <v>Sim</v>
      </c>
      <c r="P83" s="8" t="str">
        <f t="shared" si="12"/>
        <v>Sim</v>
      </c>
    </row>
    <row r="84" ht="36.75" hidden="1" customHeight="1">
      <c r="A84" s="5">
        <v>44322.535583703706</v>
      </c>
      <c r="B84" s="6" t="s">
        <v>37</v>
      </c>
      <c r="C84" s="6" t="s">
        <v>38</v>
      </c>
      <c r="D84" s="7" t="s">
        <v>70</v>
      </c>
      <c r="E84" s="8" t="str">
        <f t="shared" si="1"/>
        <v>Não</v>
      </c>
      <c r="F84" s="8" t="str">
        <f t="shared" si="2"/>
        <v>Não</v>
      </c>
      <c r="G84" s="8" t="str">
        <f t="shared" si="3"/>
        <v>Sim</v>
      </c>
      <c r="H84" s="8" t="str">
        <f t="shared" si="4"/>
        <v>Não</v>
      </c>
      <c r="I84" s="8" t="str">
        <f t="shared" si="5"/>
        <v>Não</v>
      </c>
      <c r="J84" s="8" t="str">
        <f t="shared" si="6"/>
        <v>Sim</v>
      </c>
      <c r="K84" s="8" t="str">
        <f t="shared" si="7"/>
        <v>Não</v>
      </c>
      <c r="L84" s="8" t="str">
        <f t="shared" si="8"/>
        <v>Não</v>
      </c>
      <c r="M84" s="8" t="str">
        <f t="shared" si="9"/>
        <v>Sim</v>
      </c>
      <c r="N84" s="8" t="str">
        <f t="shared" si="10"/>
        <v>Não</v>
      </c>
      <c r="O84" s="8" t="str">
        <f t="shared" si="11"/>
        <v>Não</v>
      </c>
      <c r="P84" s="8" t="str">
        <f t="shared" si="12"/>
        <v>Sim</v>
      </c>
    </row>
    <row r="85" ht="36.75" hidden="1" customHeight="1">
      <c r="A85" s="5">
        <v>44322.56104920139</v>
      </c>
      <c r="B85" s="6" t="s">
        <v>37</v>
      </c>
      <c r="C85" s="6" t="s">
        <v>38</v>
      </c>
      <c r="D85" s="7" t="s">
        <v>90</v>
      </c>
      <c r="E85" s="8" t="str">
        <f t="shared" si="1"/>
        <v>Sim</v>
      </c>
      <c r="F85" s="8" t="str">
        <f t="shared" si="2"/>
        <v>Sim</v>
      </c>
      <c r="G85" s="8" t="str">
        <f t="shared" si="3"/>
        <v>Sim</v>
      </c>
      <c r="H85" s="8" t="str">
        <f t="shared" si="4"/>
        <v>Não</v>
      </c>
      <c r="I85" s="8" t="str">
        <f t="shared" si="5"/>
        <v>Não</v>
      </c>
      <c r="J85" s="8" t="str">
        <f t="shared" si="6"/>
        <v>Sim</v>
      </c>
      <c r="K85" s="8" t="str">
        <f t="shared" si="7"/>
        <v>Não</v>
      </c>
      <c r="L85" s="8" t="str">
        <f t="shared" si="8"/>
        <v>Não</v>
      </c>
      <c r="M85" s="8" t="str">
        <f t="shared" si="9"/>
        <v>Não</v>
      </c>
      <c r="N85" s="8" t="str">
        <f t="shared" si="10"/>
        <v>Não</v>
      </c>
      <c r="O85" s="8" t="str">
        <f t="shared" si="11"/>
        <v>Não</v>
      </c>
      <c r="P85" s="8" t="str">
        <f t="shared" si="12"/>
        <v>Não</v>
      </c>
    </row>
    <row r="86" ht="36.75" hidden="1" customHeight="1">
      <c r="A86" s="5">
        <v>44322.56221979167</v>
      </c>
      <c r="B86" s="6" t="s">
        <v>37</v>
      </c>
      <c r="C86" s="6" t="s">
        <v>38</v>
      </c>
      <c r="D86" s="7" t="s">
        <v>91</v>
      </c>
      <c r="E86" s="8" t="str">
        <f t="shared" si="1"/>
        <v>Sim</v>
      </c>
      <c r="F86" s="8" t="str">
        <f t="shared" si="2"/>
        <v>Sim</v>
      </c>
      <c r="G86" s="8" t="str">
        <f t="shared" si="3"/>
        <v>Sim</v>
      </c>
      <c r="H86" s="8" t="str">
        <f t="shared" si="4"/>
        <v>Sim</v>
      </c>
      <c r="I86" s="8" t="str">
        <f t="shared" si="5"/>
        <v>Sim</v>
      </c>
      <c r="J86" s="8" t="str">
        <f t="shared" si="6"/>
        <v>Sim</v>
      </c>
      <c r="K86" s="8" t="str">
        <f t="shared" si="7"/>
        <v>Sim</v>
      </c>
      <c r="L86" s="8" t="str">
        <f t="shared" si="8"/>
        <v>Não</v>
      </c>
      <c r="M86" s="8" t="str">
        <f t="shared" si="9"/>
        <v>Sim</v>
      </c>
      <c r="N86" s="8" t="str">
        <f t="shared" si="10"/>
        <v>Sim</v>
      </c>
      <c r="O86" s="8" t="str">
        <f t="shared" si="11"/>
        <v>Não</v>
      </c>
      <c r="P86" s="8" t="str">
        <f t="shared" si="12"/>
        <v>Sim</v>
      </c>
    </row>
    <row r="87" ht="36.75" customHeight="1">
      <c r="A87" s="5">
        <v>44322.563129305556</v>
      </c>
      <c r="B87" s="6" t="s">
        <v>37</v>
      </c>
      <c r="C87" s="6" t="s">
        <v>38</v>
      </c>
      <c r="D87" s="7" t="s">
        <v>92</v>
      </c>
      <c r="E87" s="8" t="str">
        <f t="shared" si="1"/>
        <v>Sim</v>
      </c>
      <c r="F87" s="8" t="str">
        <f t="shared" si="2"/>
        <v>Não</v>
      </c>
      <c r="G87" s="8" t="str">
        <f t="shared" si="3"/>
        <v>Sim</v>
      </c>
      <c r="H87" s="8" t="str">
        <f t="shared" si="4"/>
        <v>Sim</v>
      </c>
      <c r="I87" s="8" t="str">
        <f t="shared" si="5"/>
        <v>Não</v>
      </c>
      <c r="J87" s="8" t="str">
        <f t="shared" si="6"/>
        <v>Sim</v>
      </c>
      <c r="K87" s="8" t="str">
        <f t="shared" si="7"/>
        <v>Não</v>
      </c>
      <c r="L87" s="8" t="str">
        <f t="shared" si="8"/>
        <v>Não</v>
      </c>
      <c r="M87" s="8" t="str">
        <f t="shared" si="9"/>
        <v>Sim</v>
      </c>
      <c r="N87" s="8" t="str">
        <f t="shared" si="10"/>
        <v>Não</v>
      </c>
      <c r="O87" s="8" t="str">
        <f t="shared" si="11"/>
        <v>Sim</v>
      </c>
      <c r="P87" s="8" t="str">
        <f t="shared" si="12"/>
        <v>Sim</v>
      </c>
    </row>
    <row r="88" ht="36.75" hidden="1" customHeight="1">
      <c r="A88" s="5">
        <v>44322.56344077546</v>
      </c>
      <c r="B88" s="6" t="s">
        <v>37</v>
      </c>
      <c r="C88" s="6" t="s">
        <v>38</v>
      </c>
      <c r="D88" s="7" t="s">
        <v>93</v>
      </c>
      <c r="E88" s="8" t="str">
        <f t="shared" si="1"/>
        <v>Sim</v>
      </c>
      <c r="F88" s="8" t="str">
        <f t="shared" si="2"/>
        <v>Não</v>
      </c>
      <c r="G88" s="8" t="str">
        <f t="shared" si="3"/>
        <v>Não</v>
      </c>
      <c r="H88" s="8" t="str">
        <f t="shared" si="4"/>
        <v>Não</v>
      </c>
      <c r="I88" s="8" t="str">
        <f t="shared" si="5"/>
        <v>Sim</v>
      </c>
      <c r="J88" s="8" t="str">
        <f t="shared" si="6"/>
        <v>Sim</v>
      </c>
      <c r="K88" s="8" t="str">
        <f t="shared" si="7"/>
        <v>Sim</v>
      </c>
      <c r="L88" s="8" t="str">
        <f t="shared" si="8"/>
        <v>Não</v>
      </c>
      <c r="M88" s="8" t="str">
        <f t="shared" si="9"/>
        <v>Sim</v>
      </c>
      <c r="N88" s="8" t="str">
        <f t="shared" si="10"/>
        <v>Não</v>
      </c>
      <c r="O88" s="8" t="str">
        <f t="shared" si="11"/>
        <v>Não</v>
      </c>
      <c r="P88" s="8" t="str">
        <f t="shared" si="12"/>
        <v>Sim</v>
      </c>
    </row>
    <row r="89" ht="36.75" hidden="1" customHeight="1">
      <c r="A89" s="5">
        <v>44322.5671246875</v>
      </c>
      <c r="B89" s="6" t="s">
        <v>37</v>
      </c>
      <c r="C89" s="6" t="s">
        <v>38</v>
      </c>
      <c r="D89" s="7" t="s">
        <v>94</v>
      </c>
      <c r="E89" s="8" t="str">
        <f t="shared" si="1"/>
        <v>Não</v>
      </c>
      <c r="F89" s="8" t="str">
        <f t="shared" si="2"/>
        <v>Sim</v>
      </c>
      <c r="G89" s="8" t="str">
        <f t="shared" si="3"/>
        <v>Sim</v>
      </c>
      <c r="H89" s="8" t="str">
        <f t="shared" si="4"/>
        <v>Não</v>
      </c>
      <c r="I89" s="8" t="str">
        <f t="shared" si="5"/>
        <v>Não</v>
      </c>
      <c r="J89" s="8" t="str">
        <f t="shared" si="6"/>
        <v>Sim</v>
      </c>
      <c r="K89" s="8" t="str">
        <f t="shared" si="7"/>
        <v>Não</v>
      </c>
      <c r="L89" s="8" t="str">
        <f t="shared" si="8"/>
        <v>Não</v>
      </c>
      <c r="M89" s="8" t="str">
        <f t="shared" si="9"/>
        <v>Não</v>
      </c>
      <c r="N89" s="8" t="str">
        <f t="shared" si="10"/>
        <v>Não</v>
      </c>
      <c r="O89" s="8" t="str">
        <f t="shared" si="11"/>
        <v>Não</v>
      </c>
      <c r="P89" s="8" t="str">
        <f t="shared" si="12"/>
        <v>Sim</v>
      </c>
    </row>
    <row r="90" ht="36.75" hidden="1" customHeight="1">
      <c r="A90" s="5">
        <v>44322.568059212965</v>
      </c>
      <c r="B90" s="6" t="s">
        <v>37</v>
      </c>
      <c r="C90" s="6" t="s">
        <v>38</v>
      </c>
      <c r="D90" s="7" t="s">
        <v>95</v>
      </c>
      <c r="E90" s="8" t="str">
        <f t="shared" si="1"/>
        <v>Sim</v>
      </c>
      <c r="F90" s="8" t="str">
        <f t="shared" si="2"/>
        <v>Sim</v>
      </c>
      <c r="G90" s="8" t="str">
        <f t="shared" si="3"/>
        <v>Sim</v>
      </c>
      <c r="H90" s="8" t="str">
        <f t="shared" si="4"/>
        <v>Sim</v>
      </c>
      <c r="I90" s="8" t="str">
        <f t="shared" si="5"/>
        <v>Sim</v>
      </c>
      <c r="J90" s="8" t="str">
        <f t="shared" si="6"/>
        <v>Sim</v>
      </c>
      <c r="K90" s="8" t="str">
        <f t="shared" si="7"/>
        <v>Sim</v>
      </c>
      <c r="L90" s="8" t="str">
        <f t="shared" si="8"/>
        <v>Não</v>
      </c>
      <c r="M90" s="8" t="str">
        <f t="shared" si="9"/>
        <v>Sim</v>
      </c>
      <c r="N90" s="8" t="str">
        <f t="shared" si="10"/>
        <v>Não</v>
      </c>
      <c r="O90" s="8" t="str">
        <f t="shared" si="11"/>
        <v>Não</v>
      </c>
      <c r="P90" s="8" t="str">
        <f t="shared" si="12"/>
        <v>Sim</v>
      </c>
    </row>
    <row r="91" ht="36.75" hidden="1" customHeight="1">
      <c r="A91" s="5">
        <v>44322.568500925925</v>
      </c>
      <c r="B91" s="6" t="s">
        <v>37</v>
      </c>
      <c r="C91" s="6" t="s">
        <v>38</v>
      </c>
      <c r="D91" s="7" t="s">
        <v>96</v>
      </c>
      <c r="E91" s="8" t="str">
        <f t="shared" si="1"/>
        <v>Não</v>
      </c>
      <c r="F91" s="8" t="str">
        <f t="shared" si="2"/>
        <v>Não</v>
      </c>
      <c r="G91" s="8" t="str">
        <f t="shared" si="3"/>
        <v>Sim</v>
      </c>
      <c r="H91" s="8" t="str">
        <f t="shared" si="4"/>
        <v>Não</v>
      </c>
      <c r="I91" s="8" t="str">
        <f t="shared" si="5"/>
        <v>Não</v>
      </c>
      <c r="J91" s="8" t="str">
        <f t="shared" si="6"/>
        <v>Sim</v>
      </c>
      <c r="K91" s="8" t="str">
        <f t="shared" si="7"/>
        <v>Sim</v>
      </c>
      <c r="L91" s="8" t="str">
        <f t="shared" si="8"/>
        <v>Não</v>
      </c>
      <c r="M91" s="8" t="str">
        <f t="shared" si="9"/>
        <v>Sim</v>
      </c>
      <c r="N91" s="8" t="str">
        <f t="shared" si="10"/>
        <v>Sim</v>
      </c>
      <c r="O91" s="8" t="str">
        <f t="shared" si="11"/>
        <v>Não</v>
      </c>
      <c r="P91" s="8" t="str">
        <f t="shared" si="12"/>
        <v>Sim</v>
      </c>
    </row>
    <row r="92" ht="36.75" hidden="1" customHeight="1">
      <c r="A92" s="5">
        <v>44322.572865752314</v>
      </c>
      <c r="B92" s="6" t="s">
        <v>37</v>
      </c>
      <c r="C92" s="6" t="s">
        <v>38</v>
      </c>
      <c r="D92" s="7" t="s">
        <v>97</v>
      </c>
      <c r="E92" s="8" t="str">
        <f t="shared" si="1"/>
        <v>Não</v>
      </c>
      <c r="F92" s="8" t="str">
        <f t="shared" si="2"/>
        <v>Não</v>
      </c>
      <c r="G92" s="8" t="str">
        <f t="shared" si="3"/>
        <v>Sim</v>
      </c>
      <c r="H92" s="8" t="str">
        <f t="shared" si="4"/>
        <v>Não</v>
      </c>
      <c r="I92" s="8" t="str">
        <f t="shared" si="5"/>
        <v>Não</v>
      </c>
      <c r="J92" s="8" t="str">
        <f t="shared" si="6"/>
        <v>Sim</v>
      </c>
      <c r="K92" s="8" t="str">
        <f t="shared" si="7"/>
        <v>Não</v>
      </c>
      <c r="L92" s="8" t="str">
        <f t="shared" si="8"/>
        <v>Não</v>
      </c>
      <c r="M92" s="8" t="str">
        <f t="shared" si="9"/>
        <v>Não</v>
      </c>
      <c r="N92" s="8" t="str">
        <f t="shared" si="10"/>
        <v>Não</v>
      </c>
      <c r="O92" s="8" t="str">
        <f t="shared" si="11"/>
        <v>Não</v>
      </c>
      <c r="P92" s="8" t="str">
        <f t="shared" si="12"/>
        <v>Sim</v>
      </c>
    </row>
    <row r="93" ht="36.75" hidden="1" customHeight="1">
      <c r="A93" s="5">
        <v>44322.576795416666</v>
      </c>
      <c r="B93" s="6" t="s">
        <v>37</v>
      </c>
      <c r="C93" s="6" t="s">
        <v>38</v>
      </c>
      <c r="D93" s="7" t="s">
        <v>98</v>
      </c>
      <c r="E93" s="8" t="str">
        <f t="shared" si="1"/>
        <v>Sim</v>
      </c>
      <c r="F93" s="8" t="str">
        <f t="shared" si="2"/>
        <v>Não</v>
      </c>
      <c r="G93" s="8" t="str">
        <f t="shared" si="3"/>
        <v>Sim</v>
      </c>
      <c r="H93" s="8" t="str">
        <f t="shared" si="4"/>
        <v>Não</v>
      </c>
      <c r="I93" s="8" t="str">
        <f t="shared" si="5"/>
        <v>Sim</v>
      </c>
      <c r="J93" s="8" t="str">
        <f t="shared" si="6"/>
        <v>Sim</v>
      </c>
      <c r="K93" s="8" t="str">
        <f t="shared" si="7"/>
        <v>Sim</v>
      </c>
      <c r="L93" s="8" t="str">
        <f t="shared" si="8"/>
        <v>Não</v>
      </c>
      <c r="M93" s="8" t="str">
        <f t="shared" si="9"/>
        <v>Sim</v>
      </c>
      <c r="N93" s="8" t="str">
        <f t="shared" si="10"/>
        <v>Não</v>
      </c>
      <c r="O93" s="8" t="str">
        <f t="shared" si="11"/>
        <v>Não</v>
      </c>
      <c r="P93" s="8" t="str">
        <f t="shared" si="12"/>
        <v>Sim</v>
      </c>
    </row>
    <row r="94" ht="36.75" hidden="1" customHeight="1">
      <c r="A94" s="5">
        <v>44322.57767445601</v>
      </c>
      <c r="B94" s="6" t="s">
        <v>37</v>
      </c>
      <c r="C94" s="6" t="s">
        <v>38</v>
      </c>
      <c r="D94" s="7" t="s">
        <v>99</v>
      </c>
      <c r="E94" s="8" t="str">
        <f t="shared" si="1"/>
        <v>Não</v>
      </c>
      <c r="F94" s="8" t="str">
        <f t="shared" si="2"/>
        <v>Não</v>
      </c>
      <c r="G94" s="8" t="str">
        <f t="shared" si="3"/>
        <v>Sim</v>
      </c>
      <c r="H94" s="8" t="str">
        <f t="shared" si="4"/>
        <v>Não</v>
      </c>
      <c r="I94" s="8" t="str">
        <f t="shared" si="5"/>
        <v>Sim</v>
      </c>
      <c r="J94" s="8" t="str">
        <f t="shared" si="6"/>
        <v>Sim</v>
      </c>
      <c r="K94" s="8" t="str">
        <f t="shared" si="7"/>
        <v>Não</v>
      </c>
      <c r="L94" s="8" t="str">
        <f t="shared" si="8"/>
        <v>Não</v>
      </c>
      <c r="M94" s="8" t="str">
        <f t="shared" si="9"/>
        <v>Não</v>
      </c>
      <c r="N94" s="8" t="str">
        <f t="shared" si="10"/>
        <v>Sim</v>
      </c>
      <c r="O94" s="8" t="str">
        <f t="shared" si="11"/>
        <v>Não</v>
      </c>
      <c r="P94" s="8" t="str">
        <f t="shared" si="12"/>
        <v>Sim</v>
      </c>
    </row>
    <row r="95" ht="36.75" hidden="1" customHeight="1">
      <c r="A95" s="5">
        <v>44322.59049652777</v>
      </c>
      <c r="B95" s="6" t="s">
        <v>37</v>
      </c>
      <c r="C95" s="6" t="s">
        <v>38</v>
      </c>
      <c r="D95" s="7" t="s">
        <v>100</v>
      </c>
      <c r="E95" s="8" t="str">
        <f t="shared" si="1"/>
        <v>Não</v>
      </c>
      <c r="F95" s="8" t="str">
        <f t="shared" si="2"/>
        <v>Não</v>
      </c>
      <c r="G95" s="8" t="str">
        <f t="shared" si="3"/>
        <v>Sim</v>
      </c>
      <c r="H95" s="8" t="str">
        <f t="shared" si="4"/>
        <v>Não</v>
      </c>
      <c r="I95" s="8" t="str">
        <f t="shared" si="5"/>
        <v>Não</v>
      </c>
      <c r="J95" s="8" t="str">
        <f t="shared" si="6"/>
        <v>Sim</v>
      </c>
      <c r="K95" s="8" t="str">
        <f t="shared" si="7"/>
        <v>Não</v>
      </c>
      <c r="L95" s="8" t="str">
        <f t="shared" si="8"/>
        <v>Não</v>
      </c>
      <c r="M95" s="8" t="str">
        <f t="shared" si="9"/>
        <v>Sim</v>
      </c>
      <c r="N95" s="8" t="str">
        <f t="shared" si="10"/>
        <v>Sim</v>
      </c>
      <c r="O95" s="8" t="str">
        <f t="shared" si="11"/>
        <v>Não</v>
      </c>
      <c r="P95" s="8" t="str">
        <f t="shared" si="12"/>
        <v>Sim</v>
      </c>
    </row>
    <row r="96" ht="36.75" hidden="1" customHeight="1">
      <c r="A96" s="5">
        <v>44322.596722013885</v>
      </c>
      <c r="B96" s="6" t="s">
        <v>37</v>
      </c>
      <c r="C96" s="6" t="s">
        <v>38</v>
      </c>
      <c r="D96" s="7" t="s">
        <v>77</v>
      </c>
      <c r="E96" s="8" t="str">
        <f t="shared" si="1"/>
        <v>Sim</v>
      </c>
      <c r="F96" s="8" t="str">
        <f t="shared" si="2"/>
        <v>Não</v>
      </c>
      <c r="G96" s="8" t="str">
        <f t="shared" si="3"/>
        <v>Sim</v>
      </c>
      <c r="H96" s="8" t="str">
        <f t="shared" si="4"/>
        <v>Não</v>
      </c>
      <c r="I96" s="8" t="str">
        <f t="shared" si="5"/>
        <v>Não</v>
      </c>
      <c r="J96" s="8" t="str">
        <f t="shared" si="6"/>
        <v>Sim</v>
      </c>
      <c r="K96" s="8" t="str">
        <f t="shared" si="7"/>
        <v>Não</v>
      </c>
      <c r="L96" s="8" t="str">
        <f t="shared" si="8"/>
        <v>Não</v>
      </c>
      <c r="M96" s="8" t="str">
        <f t="shared" si="9"/>
        <v>Sim</v>
      </c>
      <c r="N96" s="8" t="str">
        <f t="shared" si="10"/>
        <v>Não</v>
      </c>
      <c r="O96" s="8" t="str">
        <f t="shared" si="11"/>
        <v>Não</v>
      </c>
      <c r="P96" s="8" t="str">
        <f t="shared" si="12"/>
        <v>Sim</v>
      </c>
    </row>
    <row r="97" ht="36.75" hidden="1" customHeight="1">
      <c r="A97" s="5">
        <v>44322.73206721064</v>
      </c>
      <c r="B97" s="6" t="s">
        <v>37</v>
      </c>
      <c r="C97" s="6" t="s">
        <v>38</v>
      </c>
      <c r="D97" s="7" t="s">
        <v>101</v>
      </c>
      <c r="E97" s="8" t="str">
        <f t="shared" si="1"/>
        <v>Não</v>
      </c>
      <c r="F97" s="8" t="str">
        <f t="shared" si="2"/>
        <v>Não</v>
      </c>
      <c r="G97" s="8" t="str">
        <f t="shared" si="3"/>
        <v>Não</v>
      </c>
      <c r="H97" s="8" t="str">
        <f t="shared" si="4"/>
        <v>Não</v>
      </c>
      <c r="I97" s="8" t="str">
        <f t="shared" si="5"/>
        <v>Sim</v>
      </c>
      <c r="J97" s="8" t="str">
        <f t="shared" si="6"/>
        <v>Sim</v>
      </c>
      <c r="K97" s="8" t="str">
        <f t="shared" si="7"/>
        <v>Sim</v>
      </c>
      <c r="L97" s="8" t="str">
        <f t="shared" si="8"/>
        <v>Sim</v>
      </c>
      <c r="M97" s="8" t="str">
        <f t="shared" si="9"/>
        <v>Não</v>
      </c>
      <c r="N97" s="8" t="str">
        <f t="shared" si="10"/>
        <v>Não</v>
      </c>
      <c r="O97" s="8" t="str">
        <f t="shared" si="11"/>
        <v>Não</v>
      </c>
      <c r="P97" s="8" t="str">
        <f t="shared" si="12"/>
        <v>Não</v>
      </c>
    </row>
    <row r="98" ht="36.75" customHeight="1">
      <c r="A98" s="5">
        <v>44322.76362931713</v>
      </c>
      <c r="B98" s="6" t="s">
        <v>37</v>
      </c>
      <c r="C98" s="6" t="s">
        <v>38</v>
      </c>
      <c r="D98" s="7" t="s">
        <v>41</v>
      </c>
      <c r="E98" s="8" t="str">
        <f t="shared" si="1"/>
        <v>Não</v>
      </c>
      <c r="F98" s="8" t="str">
        <f t="shared" si="2"/>
        <v>Não</v>
      </c>
      <c r="G98" s="8" t="str">
        <f t="shared" si="3"/>
        <v>Não</v>
      </c>
      <c r="H98" s="8" t="str">
        <f t="shared" si="4"/>
        <v>Não</v>
      </c>
      <c r="I98" s="8" t="str">
        <f t="shared" si="5"/>
        <v>Sim</v>
      </c>
      <c r="J98" s="8" t="str">
        <f t="shared" si="6"/>
        <v>Sim</v>
      </c>
      <c r="K98" s="8" t="str">
        <f t="shared" si="7"/>
        <v>Não</v>
      </c>
      <c r="L98" s="8" t="str">
        <f t="shared" si="8"/>
        <v>Não</v>
      </c>
      <c r="M98" s="8" t="str">
        <f t="shared" si="9"/>
        <v>Sim</v>
      </c>
      <c r="N98" s="8" t="str">
        <f t="shared" si="10"/>
        <v>Não</v>
      </c>
      <c r="O98" s="8" t="str">
        <f t="shared" si="11"/>
        <v>Sim</v>
      </c>
      <c r="P98" s="8" t="str">
        <f t="shared" si="12"/>
        <v>Sim</v>
      </c>
    </row>
    <row r="99" ht="36.75" customHeight="1">
      <c r="A99" s="5">
        <v>44322.764904780095</v>
      </c>
      <c r="B99" s="6" t="s">
        <v>37</v>
      </c>
      <c r="C99" s="6" t="s">
        <v>38</v>
      </c>
      <c r="D99" s="7" t="s">
        <v>102</v>
      </c>
      <c r="E99" s="8" t="str">
        <f t="shared" si="1"/>
        <v>Sim</v>
      </c>
      <c r="F99" s="8" t="str">
        <f t="shared" si="2"/>
        <v>Não</v>
      </c>
      <c r="G99" s="8" t="str">
        <f t="shared" si="3"/>
        <v>Sim</v>
      </c>
      <c r="H99" s="8" t="str">
        <f t="shared" si="4"/>
        <v>Sim</v>
      </c>
      <c r="I99" s="8" t="str">
        <f t="shared" si="5"/>
        <v>Sim</v>
      </c>
      <c r="J99" s="8" t="str">
        <f t="shared" si="6"/>
        <v>Sim</v>
      </c>
      <c r="K99" s="8" t="str">
        <f t="shared" si="7"/>
        <v>Sim</v>
      </c>
      <c r="L99" s="8" t="str">
        <f t="shared" si="8"/>
        <v>Não</v>
      </c>
      <c r="M99" s="8" t="str">
        <f t="shared" si="9"/>
        <v>Sim</v>
      </c>
      <c r="N99" s="8" t="str">
        <f t="shared" si="10"/>
        <v>Não</v>
      </c>
      <c r="O99" s="8" t="str">
        <f t="shared" si="11"/>
        <v>Sim</v>
      </c>
      <c r="P99" s="8" t="str">
        <f t="shared" si="12"/>
        <v>Sim</v>
      </c>
    </row>
    <row r="100" ht="36.75" hidden="1" customHeight="1">
      <c r="A100" s="5">
        <v>44322.76847927083</v>
      </c>
      <c r="B100" s="6" t="s">
        <v>37</v>
      </c>
      <c r="C100" s="6" t="s">
        <v>38</v>
      </c>
      <c r="D100" s="7" t="s">
        <v>103</v>
      </c>
      <c r="E100" s="8" t="str">
        <f t="shared" si="1"/>
        <v>Sim</v>
      </c>
      <c r="F100" s="8" t="str">
        <f t="shared" si="2"/>
        <v>Não</v>
      </c>
      <c r="G100" s="8" t="str">
        <f t="shared" si="3"/>
        <v>Sim</v>
      </c>
      <c r="H100" s="8" t="str">
        <f t="shared" si="4"/>
        <v>Não</v>
      </c>
      <c r="I100" s="8" t="str">
        <f t="shared" si="5"/>
        <v>Sim</v>
      </c>
      <c r="J100" s="8" t="str">
        <f t="shared" si="6"/>
        <v>Sim</v>
      </c>
      <c r="K100" s="8" t="str">
        <f t="shared" si="7"/>
        <v>Sim</v>
      </c>
      <c r="L100" s="8" t="str">
        <f t="shared" si="8"/>
        <v>Não</v>
      </c>
      <c r="M100" s="8" t="str">
        <f t="shared" si="9"/>
        <v>Não</v>
      </c>
      <c r="N100" s="8" t="str">
        <f t="shared" si="10"/>
        <v>Não</v>
      </c>
      <c r="O100" s="8" t="str">
        <f t="shared" si="11"/>
        <v>Não</v>
      </c>
      <c r="P100" s="8" t="str">
        <f t="shared" si="12"/>
        <v>Sim</v>
      </c>
    </row>
    <row r="101" ht="36.75" hidden="1" customHeight="1">
      <c r="A101" s="5">
        <v>44322.93620157408</v>
      </c>
      <c r="B101" s="6" t="s">
        <v>37</v>
      </c>
      <c r="C101" s="6" t="s">
        <v>38</v>
      </c>
      <c r="D101" s="7" t="s">
        <v>70</v>
      </c>
      <c r="E101" s="8" t="str">
        <f t="shared" si="1"/>
        <v>Não</v>
      </c>
      <c r="F101" s="8" t="str">
        <f t="shared" si="2"/>
        <v>Não</v>
      </c>
      <c r="G101" s="8" t="str">
        <f t="shared" si="3"/>
        <v>Sim</v>
      </c>
      <c r="H101" s="8" t="str">
        <f t="shared" si="4"/>
        <v>Não</v>
      </c>
      <c r="I101" s="8" t="str">
        <f t="shared" si="5"/>
        <v>Não</v>
      </c>
      <c r="J101" s="8" t="str">
        <f t="shared" si="6"/>
        <v>Sim</v>
      </c>
      <c r="K101" s="8" t="str">
        <f t="shared" si="7"/>
        <v>Não</v>
      </c>
      <c r="L101" s="8" t="str">
        <f t="shared" si="8"/>
        <v>Não</v>
      </c>
      <c r="M101" s="8" t="str">
        <f t="shared" si="9"/>
        <v>Sim</v>
      </c>
      <c r="N101" s="8" t="str">
        <f t="shared" si="10"/>
        <v>Não</v>
      </c>
      <c r="O101" s="8" t="str">
        <f t="shared" si="11"/>
        <v>Não</v>
      </c>
      <c r="P101" s="8" t="str">
        <f t="shared" si="12"/>
        <v>Sim</v>
      </c>
    </row>
    <row r="102" ht="36.75" customHeight="1">
      <c r="A102" s="5">
        <v>44322.970573784725</v>
      </c>
      <c r="B102" s="6" t="s">
        <v>37</v>
      </c>
      <c r="C102" s="6" t="s">
        <v>38</v>
      </c>
      <c r="D102" s="7" t="s">
        <v>74</v>
      </c>
      <c r="E102" s="8" t="str">
        <f t="shared" si="1"/>
        <v>Sim</v>
      </c>
      <c r="F102" s="8" t="str">
        <f t="shared" si="2"/>
        <v>Sim</v>
      </c>
      <c r="G102" s="8" t="str">
        <f t="shared" si="3"/>
        <v>Sim</v>
      </c>
      <c r="H102" s="8" t="str">
        <f t="shared" si="4"/>
        <v>Não</v>
      </c>
      <c r="I102" s="8" t="str">
        <f t="shared" si="5"/>
        <v>Sim</v>
      </c>
      <c r="J102" s="8" t="str">
        <f t="shared" si="6"/>
        <v>Sim</v>
      </c>
      <c r="K102" s="8" t="str">
        <f t="shared" si="7"/>
        <v>Sim</v>
      </c>
      <c r="L102" s="8" t="str">
        <f t="shared" si="8"/>
        <v>Não</v>
      </c>
      <c r="M102" s="8" t="str">
        <f t="shared" si="9"/>
        <v>Sim</v>
      </c>
      <c r="N102" s="8" t="str">
        <f t="shared" si="10"/>
        <v>Sim</v>
      </c>
      <c r="O102" s="8" t="str">
        <f t="shared" si="11"/>
        <v>Sim</v>
      </c>
      <c r="P102" s="8" t="str">
        <f t="shared" si="12"/>
        <v>Sim</v>
      </c>
    </row>
    <row r="103" ht="36.75" hidden="1" customHeight="1">
      <c r="A103" s="5">
        <v>44323.466997627314</v>
      </c>
      <c r="B103" s="6" t="s">
        <v>37</v>
      </c>
      <c r="C103" s="6" t="s">
        <v>38</v>
      </c>
      <c r="D103" s="7" t="s">
        <v>47</v>
      </c>
      <c r="E103" s="8" t="str">
        <f t="shared" si="1"/>
        <v>Não</v>
      </c>
      <c r="F103" s="8" t="str">
        <f t="shared" si="2"/>
        <v>Não</v>
      </c>
      <c r="G103" s="8" t="str">
        <f t="shared" si="3"/>
        <v>Sim</v>
      </c>
      <c r="H103" s="8" t="str">
        <f t="shared" si="4"/>
        <v>Sim</v>
      </c>
      <c r="I103" s="8" t="str">
        <f t="shared" si="5"/>
        <v>Não</v>
      </c>
      <c r="J103" s="8" t="str">
        <f t="shared" si="6"/>
        <v>Sim</v>
      </c>
      <c r="K103" s="8" t="str">
        <f t="shared" si="7"/>
        <v>Não</v>
      </c>
      <c r="L103" s="8" t="str">
        <f t="shared" si="8"/>
        <v>Não</v>
      </c>
      <c r="M103" s="8" t="str">
        <f t="shared" si="9"/>
        <v>Sim</v>
      </c>
      <c r="N103" s="8" t="str">
        <f t="shared" si="10"/>
        <v>Não</v>
      </c>
      <c r="O103" s="8" t="str">
        <f t="shared" si="11"/>
        <v>Não</v>
      </c>
      <c r="P103" s="8" t="str">
        <f t="shared" si="12"/>
        <v>Não</v>
      </c>
    </row>
    <row r="104" ht="36.75" customHeight="1">
      <c r="A104" s="5">
        <v>44323.615211076394</v>
      </c>
      <c r="B104" s="6" t="s">
        <v>37</v>
      </c>
      <c r="C104" s="6" t="s">
        <v>38</v>
      </c>
      <c r="D104" s="7" t="s">
        <v>104</v>
      </c>
      <c r="E104" s="8" t="str">
        <f t="shared" si="1"/>
        <v>Sim</v>
      </c>
      <c r="F104" s="8" t="str">
        <f t="shared" si="2"/>
        <v>Sim</v>
      </c>
      <c r="G104" s="8" t="str">
        <f t="shared" si="3"/>
        <v>Não</v>
      </c>
      <c r="H104" s="8" t="str">
        <f t="shared" si="4"/>
        <v>Não</v>
      </c>
      <c r="I104" s="8" t="str">
        <f t="shared" si="5"/>
        <v>Não</v>
      </c>
      <c r="J104" s="8" t="str">
        <f t="shared" si="6"/>
        <v>Sim</v>
      </c>
      <c r="K104" s="8" t="str">
        <f t="shared" si="7"/>
        <v>Não</v>
      </c>
      <c r="L104" s="8" t="str">
        <f t="shared" si="8"/>
        <v>Não</v>
      </c>
      <c r="M104" s="8" t="str">
        <f t="shared" si="9"/>
        <v>Sim</v>
      </c>
      <c r="N104" s="8" t="str">
        <f t="shared" si="10"/>
        <v>Não</v>
      </c>
      <c r="O104" s="8" t="str">
        <f t="shared" si="11"/>
        <v>Sim</v>
      </c>
      <c r="P104" s="8" t="str">
        <f t="shared" si="12"/>
        <v>Sim</v>
      </c>
    </row>
    <row r="105" ht="36.75" hidden="1" customHeight="1">
      <c r="A105" s="5">
        <v>44323.644236203705</v>
      </c>
      <c r="B105" s="6" t="s">
        <v>37</v>
      </c>
      <c r="C105" s="6" t="s">
        <v>38</v>
      </c>
      <c r="D105" s="7" t="s">
        <v>88</v>
      </c>
      <c r="E105" s="8" t="str">
        <f t="shared" si="1"/>
        <v>Sim</v>
      </c>
      <c r="F105" s="8" t="str">
        <f t="shared" si="2"/>
        <v>Não</v>
      </c>
      <c r="G105" s="8" t="str">
        <f t="shared" si="3"/>
        <v>Sim</v>
      </c>
      <c r="H105" s="8" t="str">
        <f t="shared" si="4"/>
        <v>Sim</v>
      </c>
      <c r="I105" s="8" t="str">
        <f t="shared" si="5"/>
        <v>Sim</v>
      </c>
      <c r="J105" s="8" t="str">
        <f t="shared" si="6"/>
        <v>Sim</v>
      </c>
      <c r="K105" s="8" t="str">
        <f t="shared" si="7"/>
        <v>Não</v>
      </c>
      <c r="L105" s="8" t="str">
        <f t="shared" si="8"/>
        <v>Sim</v>
      </c>
      <c r="M105" s="8" t="str">
        <f t="shared" si="9"/>
        <v>Sim</v>
      </c>
      <c r="N105" s="8" t="str">
        <f t="shared" si="10"/>
        <v>Não</v>
      </c>
      <c r="O105" s="8" t="str">
        <f t="shared" si="11"/>
        <v>Não</v>
      </c>
      <c r="P105" s="8" t="str">
        <f t="shared" si="12"/>
        <v>Sim</v>
      </c>
    </row>
    <row r="106" ht="36.75" customHeight="1">
      <c r="A106" s="5">
        <v>44323.77217009259</v>
      </c>
      <c r="B106" s="6" t="s">
        <v>37</v>
      </c>
      <c r="C106" s="6" t="s">
        <v>38</v>
      </c>
      <c r="D106" s="7" t="s">
        <v>104</v>
      </c>
      <c r="E106" s="8" t="str">
        <f t="shared" si="1"/>
        <v>Sim</v>
      </c>
      <c r="F106" s="8" t="str">
        <f t="shared" si="2"/>
        <v>Sim</v>
      </c>
      <c r="G106" s="8" t="str">
        <f t="shared" si="3"/>
        <v>Não</v>
      </c>
      <c r="H106" s="8" t="str">
        <f t="shared" si="4"/>
        <v>Não</v>
      </c>
      <c r="I106" s="8" t="str">
        <f t="shared" si="5"/>
        <v>Não</v>
      </c>
      <c r="J106" s="8" t="str">
        <f t="shared" si="6"/>
        <v>Sim</v>
      </c>
      <c r="K106" s="8" t="str">
        <f t="shared" si="7"/>
        <v>Não</v>
      </c>
      <c r="L106" s="8" t="str">
        <f t="shared" si="8"/>
        <v>Não</v>
      </c>
      <c r="M106" s="8" t="str">
        <f t="shared" si="9"/>
        <v>Sim</v>
      </c>
      <c r="N106" s="8" t="str">
        <f t="shared" si="10"/>
        <v>Não</v>
      </c>
      <c r="O106" s="8" t="str">
        <f t="shared" si="11"/>
        <v>Sim</v>
      </c>
      <c r="P106" s="8" t="str">
        <f t="shared" si="12"/>
        <v>Sim</v>
      </c>
    </row>
    <row r="107" ht="36.75" hidden="1" customHeight="1">
      <c r="A107" s="5">
        <v>44326.36719045139</v>
      </c>
      <c r="B107" s="6" t="s">
        <v>37</v>
      </c>
      <c r="C107" s="6" t="s">
        <v>38</v>
      </c>
      <c r="D107" s="7" t="s">
        <v>105</v>
      </c>
      <c r="E107" s="8" t="str">
        <f t="shared" si="1"/>
        <v>Não</v>
      </c>
      <c r="F107" s="8" t="str">
        <f t="shared" si="2"/>
        <v>Não</v>
      </c>
      <c r="G107" s="8" t="str">
        <f t="shared" si="3"/>
        <v>Não</v>
      </c>
      <c r="H107" s="8" t="str">
        <f t="shared" si="4"/>
        <v>Não</v>
      </c>
      <c r="I107" s="8" t="str">
        <f t="shared" si="5"/>
        <v>Não</v>
      </c>
      <c r="J107" s="8" t="str">
        <f t="shared" si="6"/>
        <v>Sim</v>
      </c>
      <c r="K107" s="8" t="str">
        <f t="shared" si="7"/>
        <v>Sim</v>
      </c>
      <c r="L107" s="8" t="str">
        <f t="shared" si="8"/>
        <v>Não</v>
      </c>
      <c r="M107" s="8" t="str">
        <f t="shared" si="9"/>
        <v>Sim</v>
      </c>
      <c r="N107" s="8" t="str">
        <f t="shared" si="10"/>
        <v>Não</v>
      </c>
      <c r="O107" s="8" t="str">
        <f t="shared" si="11"/>
        <v>Não</v>
      </c>
      <c r="P107" s="8" t="str">
        <f t="shared" si="12"/>
        <v>Sim</v>
      </c>
    </row>
    <row r="108" ht="36.75" customHeight="1">
      <c r="A108" s="5">
        <v>44321.99065229167</v>
      </c>
      <c r="B108" s="6" t="s">
        <v>106</v>
      </c>
      <c r="C108" s="6" t="s">
        <v>107</v>
      </c>
      <c r="D108" s="7" t="s">
        <v>108</v>
      </c>
      <c r="E108" s="8" t="str">
        <f t="shared" si="1"/>
        <v>Sim</v>
      </c>
      <c r="F108" s="8" t="str">
        <f t="shared" si="2"/>
        <v>Não</v>
      </c>
      <c r="G108" s="8" t="str">
        <f t="shared" si="3"/>
        <v>Sim</v>
      </c>
      <c r="H108" s="8" t="str">
        <f t="shared" si="4"/>
        <v>Não</v>
      </c>
      <c r="I108" s="8" t="str">
        <f t="shared" si="5"/>
        <v>Sim</v>
      </c>
      <c r="J108" s="8" t="str">
        <f t="shared" si="6"/>
        <v>Não</v>
      </c>
      <c r="K108" s="8" t="str">
        <f t="shared" si="7"/>
        <v>Não</v>
      </c>
      <c r="L108" s="8" t="str">
        <f t="shared" si="8"/>
        <v>Não</v>
      </c>
      <c r="M108" s="8" t="str">
        <f t="shared" si="9"/>
        <v>Não</v>
      </c>
      <c r="N108" s="8" t="str">
        <f t="shared" si="10"/>
        <v>Não</v>
      </c>
      <c r="O108" s="8" t="str">
        <f t="shared" si="11"/>
        <v>Sim</v>
      </c>
      <c r="P108" s="8" t="str">
        <f t="shared" si="12"/>
        <v>Sim</v>
      </c>
    </row>
    <row r="109" ht="36.75" hidden="1" customHeight="1">
      <c r="A109" s="5">
        <v>44322.35058298611</v>
      </c>
      <c r="B109" s="6" t="s">
        <v>106</v>
      </c>
      <c r="C109" s="6" t="s">
        <v>107</v>
      </c>
      <c r="D109" s="7" t="s">
        <v>97</v>
      </c>
      <c r="E109" s="8" t="str">
        <f t="shared" si="1"/>
        <v>Não</v>
      </c>
      <c r="F109" s="8" t="str">
        <f t="shared" si="2"/>
        <v>Não</v>
      </c>
      <c r="G109" s="8" t="str">
        <f t="shared" si="3"/>
        <v>Sim</v>
      </c>
      <c r="H109" s="8" t="str">
        <f t="shared" si="4"/>
        <v>Não</v>
      </c>
      <c r="I109" s="8" t="str">
        <f t="shared" si="5"/>
        <v>Não</v>
      </c>
      <c r="J109" s="8" t="str">
        <f t="shared" si="6"/>
        <v>Sim</v>
      </c>
      <c r="K109" s="8" t="str">
        <f t="shared" si="7"/>
        <v>Não</v>
      </c>
      <c r="L109" s="8" t="str">
        <f t="shared" si="8"/>
        <v>Não</v>
      </c>
      <c r="M109" s="8" t="str">
        <f t="shared" si="9"/>
        <v>Não</v>
      </c>
      <c r="N109" s="8" t="str">
        <f t="shared" si="10"/>
        <v>Não</v>
      </c>
      <c r="O109" s="8" t="str">
        <f t="shared" si="11"/>
        <v>Não</v>
      </c>
      <c r="P109" s="8" t="str">
        <f t="shared" si="12"/>
        <v>Sim</v>
      </c>
    </row>
    <row r="110" ht="36.75" customHeight="1">
      <c r="A110" s="5">
        <v>44322.41995467593</v>
      </c>
      <c r="B110" s="6" t="s">
        <v>106</v>
      </c>
      <c r="C110" s="6" t="s">
        <v>107</v>
      </c>
      <c r="D110" s="7" t="s">
        <v>109</v>
      </c>
      <c r="E110" s="8" t="str">
        <f t="shared" si="1"/>
        <v>Sim</v>
      </c>
      <c r="F110" s="8" t="str">
        <f t="shared" si="2"/>
        <v>Sim</v>
      </c>
      <c r="G110" s="8" t="str">
        <f t="shared" si="3"/>
        <v>Sim</v>
      </c>
      <c r="H110" s="8" t="str">
        <f t="shared" si="4"/>
        <v>Sim</v>
      </c>
      <c r="I110" s="8" t="str">
        <f t="shared" si="5"/>
        <v>Não</v>
      </c>
      <c r="J110" s="8" t="str">
        <f t="shared" si="6"/>
        <v>Não</v>
      </c>
      <c r="K110" s="8" t="str">
        <f t="shared" si="7"/>
        <v>Sim</v>
      </c>
      <c r="L110" s="8" t="str">
        <f t="shared" si="8"/>
        <v>Não</v>
      </c>
      <c r="M110" s="8" t="str">
        <f t="shared" si="9"/>
        <v>Sim</v>
      </c>
      <c r="N110" s="8" t="str">
        <f t="shared" si="10"/>
        <v>Sim</v>
      </c>
      <c r="O110" s="8" t="str">
        <f t="shared" si="11"/>
        <v>Sim</v>
      </c>
      <c r="P110" s="8" t="str">
        <f t="shared" si="12"/>
        <v>Sim</v>
      </c>
    </row>
    <row r="111" ht="36.75" customHeight="1">
      <c r="A111" s="5">
        <v>44322.43026792824</v>
      </c>
      <c r="B111" s="6" t="s">
        <v>106</v>
      </c>
      <c r="C111" s="6" t="s">
        <v>107</v>
      </c>
      <c r="D111" s="7" t="s">
        <v>110</v>
      </c>
      <c r="E111" s="8" t="str">
        <f t="shared" si="1"/>
        <v>Sim</v>
      </c>
      <c r="F111" s="8" t="str">
        <f t="shared" si="2"/>
        <v>Não</v>
      </c>
      <c r="G111" s="8" t="str">
        <f t="shared" si="3"/>
        <v>Sim</v>
      </c>
      <c r="H111" s="8" t="str">
        <f t="shared" si="4"/>
        <v>Não</v>
      </c>
      <c r="I111" s="8" t="str">
        <f t="shared" si="5"/>
        <v>Sim</v>
      </c>
      <c r="J111" s="8" t="str">
        <f t="shared" si="6"/>
        <v>Sim</v>
      </c>
      <c r="K111" s="8" t="str">
        <f t="shared" si="7"/>
        <v>Não</v>
      </c>
      <c r="L111" s="8" t="str">
        <f t="shared" si="8"/>
        <v>Sim</v>
      </c>
      <c r="M111" s="8" t="str">
        <f t="shared" si="9"/>
        <v>Sim</v>
      </c>
      <c r="N111" s="8" t="str">
        <f t="shared" si="10"/>
        <v>Não</v>
      </c>
      <c r="O111" s="8" t="str">
        <f t="shared" si="11"/>
        <v>Sim</v>
      </c>
      <c r="P111" s="8" t="str">
        <f t="shared" si="12"/>
        <v>Sim</v>
      </c>
    </row>
    <row r="112" ht="36.75" hidden="1" customHeight="1">
      <c r="A112" s="5">
        <v>44322.43604609954</v>
      </c>
      <c r="B112" s="6" t="s">
        <v>106</v>
      </c>
      <c r="C112" s="6" t="s">
        <v>107</v>
      </c>
      <c r="D112" s="7" t="s">
        <v>111</v>
      </c>
      <c r="E112" s="8" t="str">
        <f t="shared" si="1"/>
        <v>Sim</v>
      </c>
      <c r="F112" s="8" t="str">
        <f t="shared" si="2"/>
        <v>Não</v>
      </c>
      <c r="G112" s="8" t="str">
        <f t="shared" si="3"/>
        <v>Não</v>
      </c>
      <c r="H112" s="8" t="str">
        <f t="shared" si="4"/>
        <v>Não</v>
      </c>
      <c r="I112" s="8" t="str">
        <f t="shared" si="5"/>
        <v>Não</v>
      </c>
      <c r="J112" s="8" t="str">
        <f t="shared" si="6"/>
        <v>Sim</v>
      </c>
      <c r="K112" s="8" t="str">
        <f t="shared" si="7"/>
        <v>Sim</v>
      </c>
      <c r="L112" s="8" t="str">
        <f t="shared" si="8"/>
        <v>Não</v>
      </c>
      <c r="M112" s="8" t="str">
        <f t="shared" si="9"/>
        <v>Sim</v>
      </c>
      <c r="N112" s="8" t="str">
        <f t="shared" si="10"/>
        <v>Sim</v>
      </c>
      <c r="O112" s="8" t="str">
        <f t="shared" si="11"/>
        <v>Não</v>
      </c>
      <c r="P112" s="8" t="str">
        <f t="shared" si="12"/>
        <v>Sim</v>
      </c>
    </row>
    <row r="113" ht="36.75" hidden="1" customHeight="1">
      <c r="A113" s="5">
        <v>44322.436524687495</v>
      </c>
      <c r="B113" s="6" t="s">
        <v>106</v>
      </c>
      <c r="C113" s="6" t="s">
        <v>107</v>
      </c>
      <c r="D113" s="7" t="s">
        <v>112</v>
      </c>
      <c r="E113" s="8" t="str">
        <f t="shared" si="1"/>
        <v>Não</v>
      </c>
      <c r="F113" s="8" t="str">
        <f t="shared" si="2"/>
        <v>Não</v>
      </c>
      <c r="G113" s="8" t="str">
        <f t="shared" si="3"/>
        <v>Não</v>
      </c>
      <c r="H113" s="8" t="str">
        <f t="shared" si="4"/>
        <v>Não</v>
      </c>
      <c r="I113" s="8" t="str">
        <f t="shared" si="5"/>
        <v>Não</v>
      </c>
      <c r="J113" s="8" t="str">
        <f t="shared" si="6"/>
        <v>Sim</v>
      </c>
      <c r="K113" s="8" t="str">
        <f t="shared" si="7"/>
        <v>Não</v>
      </c>
      <c r="L113" s="8" t="str">
        <f t="shared" si="8"/>
        <v>Não</v>
      </c>
      <c r="M113" s="8" t="str">
        <f t="shared" si="9"/>
        <v>Não</v>
      </c>
      <c r="N113" s="8" t="str">
        <f t="shared" si="10"/>
        <v>Não</v>
      </c>
      <c r="O113" s="8" t="str">
        <f t="shared" si="11"/>
        <v>Não</v>
      </c>
      <c r="P113" s="8" t="str">
        <f t="shared" si="12"/>
        <v>Sim</v>
      </c>
    </row>
    <row r="114" ht="36.75" hidden="1" customHeight="1">
      <c r="A114" s="5">
        <v>44322.4371749537</v>
      </c>
      <c r="B114" s="6" t="s">
        <v>106</v>
      </c>
      <c r="C114" s="6" t="s">
        <v>107</v>
      </c>
      <c r="D114" s="7" t="s">
        <v>47</v>
      </c>
      <c r="E114" s="8" t="str">
        <f t="shared" si="1"/>
        <v>Não</v>
      </c>
      <c r="F114" s="8" t="str">
        <f t="shared" si="2"/>
        <v>Não</v>
      </c>
      <c r="G114" s="8" t="str">
        <f t="shared" si="3"/>
        <v>Sim</v>
      </c>
      <c r="H114" s="8" t="str">
        <f t="shared" si="4"/>
        <v>Sim</v>
      </c>
      <c r="I114" s="8" t="str">
        <f t="shared" si="5"/>
        <v>Não</v>
      </c>
      <c r="J114" s="8" t="str">
        <f t="shared" si="6"/>
        <v>Sim</v>
      </c>
      <c r="K114" s="8" t="str">
        <f t="shared" si="7"/>
        <v>Não</v>
      </c>
      <c r="L114" s="8" t="str">
        <f t="shared" si="8"/>
        <v>Não</v>
      </c>
      <c r="M114" s="8" t="str">
        <f t="shared" si="9"/>
        <v>Sim</v>
      </c>
      <c r="N114" s="8" t="str">
        <f t="shared" si="10"/>
        <v>Não</v>
      </c>
      <c r="O114" s="8" t="str">
        <f t="shared" si="11"/>
        <v>Não</v>
      </c>
      <c r="P114" s="8" t="str">
        <f t="shared" si="12"/>
        <v>Não</v>
      </c>
    </row>
    <row r="115" ht="36.75" hidden="1" customHeight="1">
      <c r="A115" s="5">
        <v>44322.43826018518</v>
      </c>
      <c r="B115" s="6" t="s">
        <v>106</v>
      </c>
      <c r="C115" s="6" t="s">
        <v>107</v>
      </c>
      <c r="D115" s="7" t="s">
        <v>113</v>
      </c>
      <c r="E115" s="8" t="str">
        <f t="shared" si="1"/>
        <v>Sim</v>
      </c>
      <c r="F115" s="8" t="str">
        <f t="shared" si="2"/>
        <v>Sim</v>
      </c>
      <c r="G115" s="8" t="str">
        <f t="shared" si="3"/>
        <v>Sim</v>
      </c>
      <c r="H115" s="8" t="str">
        <f t="shared" si="4"/>
        <v>Não</v>
      </c>
      <c r="I115" s="8" t="str">
        <f t="shared" si="5"/>
        <v>Sim</v>
      </c>
      <c r="J115" s="8" t="str">
        <f t="shared" si="6"/>
        <v>Não</v>
      </c>
      <c r="K115" s="8" t="str">
        <f t="shared" si="7"/>
        <v>Não</v>
      </c>
      <c r="L115" s="8" t="str">
        <f t="shared" si="8"/>
        <v>Não</v>
      </c>
      <c r="M115" s="8" t="str">
        <f t="shared" si="9"/>
        <v>Sim</v>
      </c>
      <c r="N115" s="8" t="str">
        <f t="shared" si="10"/>
        <v>Não</v>
      </c>
      <c r="O115" s="8" t="str">
        <f t="shared" si="11"/>
        <v>Não</v>
      </c>
      <c r="P115" s="8" t="str">
        <f t="shared" si="12"/>
        <v>Não</v>
      </c>
    </row>
    <row r="116" ht="36.75" customHeight="1">
      <c r="A116" s="5">
        <v>44322.43956650463</v>
      </c>
      <c r="B116" s="6" t="s">
        <v>106</v>
      </c>
      <c r="C116" s="6" t="s">
        <v>107</v>
      </c>
      <c r="D116" s="7" t="s">
        <v>114</v>
      </c>
      <c r="E116" s="8" t="str">
        <f t="shared" si="1"/>
        <v>Não</v>
      </c>
      <c r="F116" s="8" t="str">
        <f t="shared" si="2"/>
        <v>Não</v>
      </c>
      <c r="G116" s="8" t="str">
        <f t="shared" si="3"/>
        <v>Não</v>
      </c>
      <c r="H116" s="8" t="str">
        <f t="shared" si="4"/>
        <v>Não</v>
      </c>
      <c r="I116" s="8" t="str">
        <f t="shared" si="5"/>
        <v>Sim</v>
      </c>
      <c r="J116" s="8" t="str">
        <f t="shared" si="6"/>
        <v>Sim</v>
      </c>
      <c r="K116" s="8" t="str">
        <f t="shared" si="7"/>
        <v>Sim</v>
      </c>
      <c r="L116" s="8" t="str">
        <f t="shared" si="8"/>
        <v>Não</v>
      </c>
      <c r="M116" s="8" t="str">
        <f t="shared" si="9"/>
        <v>Sim</v>
      </c>
      <c r="N116" s="8" t="str">
        <f t="shared" si="10"/>
        <v>Sim</v>
      </c>
      <c r="O116" s="8" t="str">
        <f t="shared" si="11"/>
        <v>Sim</v>
      </c>
      <c r="P116" s="8" t="str">
        <f t="shared" si="12"/>
        <v>Sim</v>
      </c>
    </row>
    <row r="117" ht="36.75" customHeight="1">
      <c r="A117" s="5">
        <v>44322.44958878472</v>
      </c>
      <c r="B117" s="6" t="s">
        <v>106</v>
      </c>
      <c r="C117" s="6" t="s">
        <v>107</v>
      </c>
      <c r="D117" s="7" t="s">
        <v>115</v>
      </c>
      <c r="E117" s="8" t="str">
        <f t="shared" si="1"/>
        <v>Não</v>
      </c>
      <c r="F117" s="8" t="str">
        <f t="shared" si="2"/>
        <v>Não</v>
      </c>
      <c r="G117" s="8" t="str">
        <f t="shared" si="3"/>
        <v>Sim</v>
      </c>
      <c r="H117" s="8" t="str">
        <f t="shared" si="4"/>
        <v>Não</v>
      </c>
      <c r="I117" s="8" t="str">
        <f t="shared" si="5"/>
        <v>Sim</v>
      </c>
      <c r="J117" s="8" t="str">
        <f t="shared" si="6"/>
        <v>Sim</v>
      </c>
      <c r="K117" s="8" t="str">
        <f t="shared" si="7"/>
        <v>Não</v>
      </c>
      <c r="L117" s="8" t="str">
        <f t="shared" si="8"/>
        <v>Não</v>
      </c>
      <c r="M117" s="8" t="str">
        <f t="shared" si="9"/>
        <v>Não</v>
      </c>
      <c r="N117" s="8" t="str">
        <f t="shared" si="10"/>
        <v>Sim</v>
      </c>
      <c r="O117" s="8" t="str">
        <f t="shared" si="11"/>
        <v>Sim</v>
      </c>
      <c r="P117" s="8" t="str">
        <f t="shared" si="12"/>
        <v>Não</v>
      </c>
    </row>
    <row r="118" ht="36.75" hidden="1" customHeight="1">
      <c r="A118" s="5">
        <v>44322.450184409725</v>
      </c>
      <c r="B118" s="6" t="s">
        <v>106</v>
      </c>
      <c r="C118" s="6" t="s">
        <v>107</v>
      </c>
      <c r="D118" s="7" t="s">
        <v>116</v>
      </c>
      <c r="E118" s="8" t="str">
        <f t="shared" si="1"/>
        <v>Não</v>
      </c>
      <c r="F118" s="8" t="str">
        <f t="shared" si="2"/>
        <v>Não</v>
      </c>
      <c r="G118" s="8" t="str">
        <f t="shared" si="3"/>
        <v>Sim</v>
      </c>
      <c r="H118" s="8" t="str">
        <f t="shared" si="4"/>
        <v>Não</v>
      </c>
      <c r="I118" s="8" t="str">
        <f t="shared" si="5"/>
        <v>Sim</v>
      </c>
      <c r="J118" s="8" t="str">
        <f t="shared" si="6"/>
        <v>Sim</v>
      </c>
      <c r="K118" s="8" t="str">
        <f t="shared" si="7"/>
        <v>Sim</v>
      </c>
      <c r="L118" s="8" t="str">
        <f t="shared" si="8"/>
        <v>Não</v>
      </c>
      <c r="M118" s="8" t="str">
        <f t="shared" si="9"/>
        <v>Sim</v>
      </c>
      <c r="N118" s="8" t="str">
        <f t="shared" si="10"/>
        <v>Sim</v>
      </c>
      <c r="O118" s="8" t="str">
        <f t="shared" si="11"/>
        <v>Não</v>
      </c>
      <c r="P118" s="8" t="str">
        <f t="shared" si="12"/>
        <v>Sim</v>
      </c>
    </row>
    <row r="119" ht="36.75" hidden="1" customHeight="1">
      <c r="A119" s="5">
        <v>44322.45150972222</v>
      </c>
      <c r="B119" s="6" t="s">
        <v>106</v>
      </c>
      <c r="C119" s="6" t="s">
        <v>107</v>
      </c>
      <c r="D119" s="7" t="s">
        <v>117</v>
      </c>
      <c r="E119" s="8" t="str">
        <f t="shared" si="1"/>
        <v>Não</v>
      </c>
      <c r="F119" s="8" t="str">
        <f t="shared" si="2"/>
        <v>Sim</v>
      </c>
      <c r="G119" s="8" t="str">
        <f t="shared" si="3"/>
        <v>Sim</v>
      </c>
      <c r="H119" s="8" t="str">
        <f t="shared" si="4"/>
        <v>Não</v>
      </c>
      <c r="I119" s="8" t="str">
        <f t="shared" si="5"/>
        <v>Sim</v>
      </c>
      <c r="J119" s="8" t="str">
        <f t="shared" si="6"/>
        <v>Sim</v>
      </c>
      <c r="K119" s="8" t="str">
        <f t="shared" si="7"/>
        <v>Não</v>
      </c>
      <c r="L119" s="8" t="str">
        <f t="shared" si="8"/>
        <v>Não</v>
      </c>
      <c r="M119" s="8" t="str">
        <f t="shared" si="9"/>
        <v>Sim</v>
      </c>
      <c r="N119" s="8" t="str">
        <f t="shared" si="10"/>
        <v>Não</v>
      </c>
      <c r="O119" s="8" t="str">
        <f t="shared" si="11"/>
        <v>Não</v>
      </c>
      <c r="P119" s="8" t="str">
        <f t="shared" si="12"/>
        <v>Não</v>
      </c>
    </row>
    <row r="120" ht="36.75" hidden="1" customHeight="1">
      <c r="A120" s="5">
        <v>44322.459008564816</v>
      </c>
      <c r="B120" s="6" t="s">
        <v>106</v>
      </c>
      <c r="C120" s="6" t="s">
        <v>107</v>
      </c>
      <c r="D120" s="7" t="s">
        <v>43</v>
      </c>
      <c r="E120" s="8" t="str">
        <f t="shared" si="1"/>
        <v>Não</v>
      </c>
      <c r="F120" s="8" t="str">
        <f t="shared" si="2"/>
        <v>Não</v>
      </c>
      <c r="G120" s="8" t="str">
        <f t="shared" si="3"/>
        <v>Sim</v>
      </c>
      <c r="H120" s="8" t="str">
        <f t="shared" si="4"/>
        <v>Não</v>
      </c>
      <c r="I120" s="8" t="str">
        <f t="shared" si="5"/>
        <v>Sim</v>
      </c>
      <c r="J120" s="8" t="str">
        <f t="shared" si="6"/>
        <v>Sim</v>
      </c>
      <c r="K120" s="8" t="str">
        <f t="shared" si="7"/>
        <v>Sim</v>
      </c>
      <c r="L120" s="8" t="str">
        <f t="shared" si="8"/>
        <v>Não</v>
      </c>
      <c r="M120" s="8" t="str">
        <f t="shared" si="9"/>
        <v>Não</v>
      </c>
      <c r="N120" s="8" t="str">
        <f t="shared" si="10"/>
        <v>Não</v>
      </c>
      <c r="O120" s="8" t="str">
        <f t="shared" si="11"/>
        <v>Não</v>
      </c>
      <c r="P120" s="8" t="str">
        <f t="shared" si="12"/>
        <v>Sim</v>
      </c>
    </row>
    <row r="121" ht="36.75" customHeight="1">
      <c r="A121" s="5">
        <v>44322.46222876158</v>
      </c>
      <c r="B121" s="6" t="s">
        <v>106</v>
      </c>
      <c r="C121" s="6" t="s">
        <v>107</v>
      </c>
      <c r="D121" s="7" t="s">
        <v>118</v>
      </c>
      <c r="E121" s="8" t="str">
        <f t="shared" si="1"/>
        <v>Não</v>
      </c>
      <c r="F121" s="8" t="str">
        <f t="shared" si="2"/>
        <v>Não</v>
      </c>
      <c r="G121" s="8" t="str">
        <f t="shared" si="3"/>
        <v>Sim</v>
      </c>
      <c r="H121" s="8" t="str">
        <f t="shared" si="4"/>
        <v>Não</v>
      </c>
      <c r="I121" s="8" t="str">
        <f t="shared" si="5"/>
        <v>Sim</v>
      </c>
      <c r="J121" s="8" t="str">
        <f t="shared" si="6"/>
        <v>Sim</v>
      </c>
      <c r="K121" s="8" t="str">
        <f t="shared" si="7"/>
        <v>Sim</v>
      </c>
      <c r="L121" s="8" t="str">
        <f t="shared" si="8"/>
        <v>Não</v>
      </c>
      <c r="M121" s="8" t="str">
        <f t="shared" si="9"/>
        <v>Sim</v>
      </c>
      <c r="N121" s="8" t="str">
        <f t="shared" si="10"/>
        <v>Não</v>
      </c>
      <c r="O121" s="8" t="str">
        <f t="shared" si="11"/>
        <v>Sim</v>
      </c>
      <c r="P121" s="8" t="str">
        <f t="shared" si="12"/>
        <v>Sim</v>
      </c>
    </row>
    <row r="122" ht="36.75" customHeight="1">
      <c r="A122" s="5">
        <v>44322.49663959491</v>
      </c>
      <c r="B122" s="6" t="s">
        <v>106</v>
      </c>
      <c r="C122" s="6" t="s">
        <v>107</v>
      </c>
      <c r="D122" s="7" t="s">
        <v>119</v>
      </c>
      <c r="E122" s="8" t="str">
        <f t="shared" si="1"/>
        <v>Sim</v>
      </c>
      <c r="F122" s="8" t="str">
        <f t="shared" si="2"/>
        <v>Não</v>
      </c>
      <c r="G122" s="8" t="str">
        <f t="shared" si="3"/>
        <v>Sim</v>
      </c>
      <c r="H122" s="8" t="str">
        <f t="shared" si="4"/>
        <v>Não</v>
      </c>
      <c r="I122" s="8" t="str">
        <f t="shared" si="5"/>
        <v>Sim</v>
      </c>
      <c r="J122" s="8" t="str">
        <f t="shared" si="6"/>
        <v>Sim</v>
      </c>
      <c r="K122" s="8" t="str">
        <f t="shared" si="7"/>
        <v>Sim</v>
      </c>
      <c r="L122" s="8" t="str">
        <f t="shared" si="8"/>
        <v>Não</v>
      </c>
      <c r="M122" s="8" t="str">
        <f t="shared" si="9"/>
        <v>Não</v>
      </c>
      <c r="N122" s="8" t="str">
        <f t="shared" si="10"/>
        <v>Não</v>
      </c>
      <c r="O122" s="8" t="str">
        <f t="shared" si="11"/>
        <v>Sim</v>
      </c>
      <c r="P122" s="8" t="str">
        <f t="shared" si="12"/>
        <v>Sim</v>
      </c>
    </row>
    <row r="123" ht="36.75" customHeight="1">
      <c r="A123" s="5">
        <v>44322.50510607639</v>
      </c>
      <c r="B123" s="6" t="s">
        <v>106</v>
      </c>
      <c r="C123" s="6" t="s">
        <v>107</v>
      </c>
      <c r="D123" s="7" t="s">
        <v>120</v>
      </c>
      <c r="E123" s="8" t="str">
        <f t="shared" si="1"/>
        <v>Sim</v>
      </c>
      <c r="F123" s="8" t="str">
        <f t="shared" si="2"/>
        <v>Não</v>
      </c>
      <c r="G123" s="8" t="str">
        <f t="shared" si="3"/>
        <v>Sim</v>
      </c>
      <c r="H123" s="8" t="str">
        <f t="shared" si="4"/>
        <v>Não</v>
      </c>
      <c r="I123" s="8" t="str">
        <f t="shared" si="5"/>
        <v>Sim</v>
      </c>
      <c r="J123" s="8" t="str">
        <f t="shared" si="6"/>
        <v>Sim</v>
      </c>
      <c r="K123" s="8" t="str">
        <f t="shared" si="7"/>
        <v>Não</v>
      </c>
      <c r="L123" s="8" t="str">
        <f t="shared" si="8"/>
        <v>Não</v>
      </c>
      <c r="M123" s="8" t="str">
        <f t="shared" si="9"/>
        <v>Sim</v>
      </c>
      <c r="N123" s="8" t="str">
        <f t="shared" si="10"/>
        <v>Sim</v>
      </c>
      <c r="O123" s="8" t="str">
        <f t="shared" si="11"/>
        <v>Sim</v>
      </c>
      <c r="P123" s="8" t="str">
        <f t="shared" si="12"/>
        <v>Sim</v>
      </c>
    </row>
    <row r="124" ht="36.75" hidden="1" customHeight="1">
      <c r="A124" s="5">
        <v>44322.51059679398</v>
      </c>
      <c r="B124" s="6" t="s">
        <v>106</v>
      </c>
      <c r="C124" s="6" t="s">
        <v>107</v>
      </c>
      <c r="D124" s="7" t="s">
        <v>98</v>
      </c>
      <c r="E124" s="8" t="str">
        <f t="shared" si="1"/>
        <v>Sim</v>
      </c>
      <c r="F124" s="8" t="str">
        <f t="shared" si="2"/>
        <v>Não</v>
      </c>
      <c r="G124" s="8" t="str">
        <f t="shared" si="3"/>
        <v>Sim</v>
      </c>
      <c r="H124" s="8" t="str">
        <f t="shared" si="4"/>
        <v>Não</v>
      </c>
      <c r="I124" s="8" t="str">
        <f t="shared" si="5"/>
        <v>Sim</v>
      </c>
      <c r="J124" s="8" t="str">
        <f t="shared" si="6"/>
        <v>Sim</v>
      </c>
      <c r="K124" s="8" t="str">
        <f t="shared" si="7"/>
        <v>Sim</v>
      </c>
      <c r="L124" s="8" t="str">
        <f t="shared" si="8"/>
        <v>Não</v>
      </c>
      <c r="M124" s="8" t="str">
        <f t="shared" si="9"/>
        <v>Sim</v>
      </c>
      <c r="N124" s="8" t="str">
        <f t="shared" si="10"/>
        <v>Não</v>
      </c>
      <c r="O124" s="8" t="str">
        <f t="shared" si="11"/>
        <v>Não</v>
      </c>
      <c r="P124" s="8" t="str">
        <f t="shared" si="12"/>
        <v>Sim</v>
      </c>
    </row>
    <row r="125" ht="36.75" hidden="1" customHeight="1">
      <c r="A125" s="5">
        <v>44322.513104247686</v>
      </c>
      <c r="B125" s="6" t="s">
        <v>106</v>
      </c>
      <c r="C125" s="6" t="s">
        <v>107</v>
      </c>
      <c r="D125" s="7" t="s">
        <v>61</v>
      </c>
      <c r="E125" s="8" t="str">
        <f t="shared" si="1"/>
        <v>Sim</v>
      </c>
      <c r="F125" s="8" t="str">
        <f t="shared" si="2"/>
        <v>Não</v>
      </c>
      <c r="G125" s="8" t="str">
        <f t="shared" si="3"/>
        <v>Sim</v>
      </c>
      <c r="H125" s="8" t="str">
        <f t="shared" si="4"/>
        <v>Não</v>
      </c>
      <c r="I125" s="8" t="str">
        <f t="shared" si="5"/>
        <v>Não</v>
      </c>
      <c r="J125" s="8" t="str">
        <f t="shared" si="6"/>
        <v>Sim</v>
      </c>
      <c r="K125" s="8" t="str">
        <f t="shared" si="7"/>
        <v>Não</v>
      </c>
      <c r="L125" s="8" t="str">
        <f t="shared" si="8"/>
        <v>Não</v>
      </c>
      <c r="M125" s="8" t="str">
        <f t="shared" si="9"/>
        <v>Não</v>
      </c>
      <c r="N125" s="8" t="str">
        <f t="shared" si="10"/>
        <v>Não</v>
      </c>
      <c r="O125" s="8" t="str">
        <f t="shared" si="11"/>
        <v>Não</v>
      </c>
      <c r="P125" s="8" t="str">
        <f t="shared" si="12"/>
        <v>Não</v>
      </c>
    </row>
    <row r="126" ht="36.75" hidden="1" customHeight="1">
      <c r="A126" s="5">
        <v>44322.52821469908</v>
      </c>
      <c r="B126" s="6" t="s">
        <v>106</v>
      </c>
      <c r="C126" s="6" t="s">
        <v>107</v>
      </c>
      <c r="D126" s="7" t="s">
        <v>121</v>
      </c>
      <c r="E126" s="8" t="str">
        <f t="shared" si="1"/>
        <v>Sim</v>
      </c>
      <c r="F126" s="8" t="str">
        <f t="shared" si="2"/>
        <v>Sim</v>
      </c>
      <c r="G126" s="8" t="str">
        <f t="shared" si="3"/>
        <v>Sim</v>
      </c>
      <c r="H126" s="8" t="str">
        <f t="shared" si="4"/>
        <v>Não</v>
      </c>
      <c r="I126" s="8" t="str">
        <f t="shared" si="5"/>
        <v>Sim</v>
      </c>
      <c r="J126" s="8" t="str">
        <f t="shared" si="6"/>
        <v>Não</v>
      </c>
      <c r="K126" s="8" t="str">
        <f t="shared" si="7"/>
        <v>Não</v>
      </c>
      <c r="L126" s="8" t="str">
        <f t="shared" si="8"/>
        <v>Não</v>
      </c>
      <c r="M126" s="8" t="str">
        <f t="shared" si="9"/>
        <v>Não</v>
      </c>
      <c r="N126" s="8" t="str">
        <f t="shared" si="10"/>
        <v>Não</v>
      </c>
      <c r="O126" s="8" t="str">
        <f t="shared" si="11"/>
        <v>Não</v>
      </c>
      <c r="P126" s="8" t="str">
        <f t="shared" si="12"/>
        <v>Sim</v>
      </c>
    </row>
    <row r="127" ht="36.75" customHeight="1">
      <c r="A127" s="5">
        <v>44322.530942384255</v>
      </c>
      <c r="B127" s="6" t="s">
        <v>106</v>
      </c>
      <c r="C127" s="6" t="s">
        <v>107</v>
      </c>
      <c r="D127" s="7" t="s">
        <v>68</v>
      </c>
      <c r="E127" s="8" t="str">
        <f t="shared" si="1"/>
        <v>Sim</v>
      </c>
      <c r="F127" s="8" t="str">
        <f t="shared" si="2"/>
        <v>Não</v>
      </c>
      <c r="G127" s="8" t="str">
        <f t="shared" si="3"/>
        <v>Sim</v>
      </c>
      <c r="H127" s="8" t="str">
        <f t="shared" si="4"/>
        <v>Não</v>
      </c>
      <c r="I127" s="8" t="str">
        <f t="shared" si="5"/>
        <v>Sim</v>
      </c>
      <c r="J127" s="8" t="str">
        <f t="shared" si="6"/>
        <v>Sim</v>
      </c>
      <c r="K127" s="8" t="str">
        <f t="shared" si="7"/>
        <v>Sim</v>
      </c>
      <c r="L127" s="8" t="str">
        <f t="shared" si="8"/>
        <v>Não</v>
      </c>
      <c r="M127" s="8" t="str">
        <f t="shared" si="9"/>
        <v>Sim</v>
      </c>
      <c r="N127" s="8" t="str">
        <f t="shared" si="10"/>
        <v>Não</v>
      </c>
      <c r="O127" s="8" t="str">
        <f t="shared" si="11"/>
        <v>Sim</v>
      </c>
      <c r="P127" s="8" t="str">
        <f t="shared" si="12"/>
        <v>Sim</v>
      </c>
    </row>
    <row r="128" ht="36.75" hidden="1" customHeight="1">
      <c r="A128" s="5">
        <v>44322.554997569445</v>
      </c>
      <c r="B128" s="6" t="s">
        <v>106</v>
      </c>
      <c r="C128" s="6" t="s">
        <v>107</v>
      </c>
      <c r="D128" s="7" t="s">
        <v>122</v>
      </c>
      <c r="E128" s="8" t="str">
        <f t="shared" si="1"/>
        <v>Não</v>
      </c>
      <c r="F128" s="8" t="str">
        <f t="shared" si="2"/>
        <v>Não</v>
      </c>
      <c r="G128" s="8" t="str">
        <f t="shared" si="3"/>
        <v>Sim</v>
      </c>
      <c r="H128" s="8" t="str">
        <f t="shared" si="4"/>
        <v>Não</v>
      </c>
      <c r="I128" s="8" t="str">
        <f t="shared" si="5"/>
        <v>Não</v>
      </c>
      <c r="J128" s="8" t="str">
        <f t="shared" si="6"/>
        <v>Sim</v>
      </c>
      <c r="K128" s="8" t="str">
        <f t="shared" si="7"/>
        <v>Sim</v>
      </c>
      <c r="L128" s="8" t="str">
        <f t="shared" si="8"/>
        <v>Não</v>
      </c>
      <c r="M128" s="8" t="str">
        <f t="shared" si="9"/>
        <v>Sim</v>
      </c>
      <c r="N128" s="8" t="str">
        <f t="shared" si="10"/>
        <v>Não</v>
      </c>
      <c r="O128" s="8" t="str">
        <f t="shared" si="11"/>
        <v>Não</v>
      </c>
      <c r="P128" s="8" t="str">
        <f t="shared" si="12"/>
        <v>Sim</v>
      </c>
    </row>
    <row r="129" ht="36.75" customHeight="1">
      <c r="A129" s="5">
        <v>44322.55775648148</v>
      </c>
      <c r="B129" s="6" t="s">
        <v>106</v>
      </c>
      <c r="C129" s="6" t="s">
        <v>107</v>
      </c>
      <c r="D129" s="7" t="s">
        <v>123</v>
      </c>
      <c r="E129" s="8" t="str">
        <f t="shared" si="1"/>
        <v>Sim</v>
      </c>
      <c r="F129" s="8" t="str">
        <f t="shared" si="2"/>
        <v>Não</v>
      </c>
      <c r="G129" s="8" t="str">
        <f t="shared" si="3"/>
        <v>Não</v>
      </c>
      <c r="H129" s="8" t="str">
        <f t="shared" si="4"/>
        <v>Não</v>
      </c>
      <c r="I129" s="8" t="str">
        <f t="shared" si="5"/>
        <v>Sim</v>
      </c>
      <c r="J129" s="8" t="str">
        <f t="shared" si="6"/>
        <v>Sim</v>
      </c>
      <c r="K129" s="8" t="str">
        <f t="shared" si="7"/>
        <v>Não</v>
      </c>
      <c r="L129" s="8" t="str">
        <f t="shared" si="8"/>
        <v>Não</v>
      </c>
      <c r="M129" s="8" t="str">
        <f t="shared" si="9"/>
        <v>Não</v>
      </c>
      <c r="N129" s="8" t="str">
        <f t="shared" si="10"/>
        <v>Não</v>
      </c>
      <c r="O129" s="8" t="str">
        <f t="shared" si="11"/>
        <v>Sim</v>
      </c>
      <c r="P129" s="8" t="str">
        <f t="shared" si="12"/>
        <v>Sim</v>
      </c>
    </row>
    <row r="130" ht="36.75" hidden="1" customHeight="1">
      <c r="A130" s="5">
        <v>44322.55956494213</v>
      </c>
      <c r="B130" s="6" t="s">
        <v>106</v>
      </c>
      <c r="C130" s="6" t="s">
        <v>107</v>
      </c>
      <c r="D130" s="7" t="s">
        <v>124</v>
      </c>
      <c r="E130" s="8" t="str">
        <f t="shared" si="1"/>
        <v>Não</v>
      </c>
      <c r="F130" s="8" t="str">
        <f t="shared" si="2"/>
        <v>Não</v>
      </c>
      <c r="G130" s="8" t="str">
        <f t="shared" si="3"/>
        <v>Sim</v>
      </c>
      <c r="H130" s="8" t="str">
        <f t="shared" si="4"/>
        <v>Não</v>
      </c>
      <c r="I130" s="8" t="str">
        <f t="shared" si="5"/>
        <v>Sim</v>
      </c>
      <c r="J130" s="8" t="str">
        <f t="shared" si="6"/>
        <v>Sim</v>
      </c>
      <c r="K130" s="8" t="str">
        <f t="shared" si="7"/>
        <v>Sim</v>
      </c>
      <c r="L130" s="8" t="str">
        <f t="shared" si="8"/>
        <v>Não</v>
      </c>
      <c r="M130" s="8" t="str">
        <f t="shared" si="9"/>
        <v>Sim</v>
      </c>
      <c r="N130" s="8" t="str">
        <f t="shared" si="10"/>
        <v>Não</v>
      </c>
      <c r="O130" s="8" t="str">
        <f t="shared" si="11"/>
        <v>Não</v>
      </c>
      <c r="P130" s="8" t="str">
        <f t="shared" si="12"/>
        <v>Sim</v>
      </c>
    </row>
    <row r="131" ht="36.75" customHeight="1">
      <c r="A131" s="5">
        <v>44322.56301331018</v>
      </c>
      <c r="B131" s="6" t="s">
        <v>106</v>
      </c>
      <c r="C131" s="6" t="s">
        <v>107</v>
      </c>
      <c r="D131" s="7" t="s">
        <v>125</v>
      </c>
      <c r="E131" s="8" t="str">
        <f t="shared" si="1"/>
        <v>Sim</v>
      </c>
      <c r="F131" s="8" t="str">
        <f t="shared" si="2"/>
        <v>Sim</v>
      </c>
      <c r="G131" s="8" t="str">
        <f t="shared" si="3"/>
        <v>Sim</v>
      </c>
      <c r="H131" s="8" t="str">
        <f t="shared" si="4"/>
        <v>Sim</v>
      </c>
      <c r="I131" s="8" t="str">
        <f t="shared" si="5"/>
        <v>Não</v>
      </c>
      <c r="J131" s="8" t="str">
        <f t="shared" si="6"/>
        <v>Sim</v>
      </c>
      <c r="K131" s="8" t="str">
        <f t="shared" si="7"/>
        <v>Sim</v>
      </c>
      <c r="L131" s="8" t="str">
        <f t="shared" si="8"/>
        <v>Não</v>
      </c>
      <c r="M131" s="8" t="str">
        <f t="shared" si="9"/>
        <v>Sim</v>
      </c>
      <c r="N131" s="8" t="str">
        <f t="shared" si="10"/>
        <v>Sim</v>
      </c>
      <c r="O131" s="8" t="str">
        <f t="shared" si="11"/>
        <v>Sim</v>
      </c>
      <c r="P131" s="8" t="str">
        <f t="shared" si="12"/>
        <v>Sim</v>
      </c>
    </row>
    <row r="132" ht="36.75" hidden="1" customHeight="1">
      <c r="A132" s="5">
        <v>44322.57272145833</v>
      </c>
      <c r="B132" s="6" t="s">
        <v>106</v>
      </c>
      <c r="C132" s="6" t="s">
        <v>107</v>
      </c>
      <c r="D132" s="7" t="s">
        <v>10</v>
      </c>
      <c r="E132" s="8" t="str">
        <f t="shared" si="1"/>
        <v>Não</v>
      </c>
      <c r="F132" s="8" t="str">
        <f t="shared" si="2"/>
        <v>Não</v>
      </c>
      <c r="G132" s="8" t="str">
        <f t="shared" si="3"/>
        <v>Não</v>
      </c>
      <c r="H132" s="8" t="str">
        <f t="shared" si="4"/>
        <v>Não</v>
      </c>
      <c r="I132" s="8" t="str">
        <f t="shared" si="5"/>
        <v>Não</v>
      </c>
      <c r="J132" s="8" t="str">
        <f t="shared" si="6"/>
        <v>Não</v>
      </c>
      <c r="K132" s="8" t="str">
        <f t="shared" si="7"/>
        <v>Sim</v>
      </c>
      <c r="L132" s="8" t="str">
        <f t="shared" si="8"/>
        <v>Não</v>
      </c>
      <c r="M132" s="8" t="str">
        <f t="shared" si="9"/>
        <v>Não</v>
      </c>
      <c r="N132" s="8" t="str">
        <f t="shared" si="10"/>
        <v>Não</v>
      </c>
      <c r="O132" s="8" t="str">
        <f t="shared" si="11"/>
        <v>Não</v>
      </c>
      <c r="P132" s="8" t="str">
        <f t="shared" si="12"/>
        <v>Não</v>
      </c>
    </row>
    <row r="133" ht="36.75" customHeight="1">
      <c r="A133" s="5">
        <v>44322.5902838426</v>
      </c>
      <c r="B133" s="6" t="s">
        <v>106</v>
      </c>
      <c r="C133" s="6" t="s">
        <v>107</v>
      </c>
      <c r="D133" s="7" t="s">
        <v>74</v>
      </c>
      <c r="E133" s="8" t="str">
        <f t="shared" si="1"/>
        <v>Sim</v>
      </c>
      <c r="F133" s="8" t="str">
        <f t="shared" si="2"/>
        <v>Sim</v>
      </c>
      <c r="G133" s="8" t="str">
        <f t="shared" si="3"/>
        <v>Sim</v>
      </c>
      <c r="H133" s="8" t="str">
        <f t="shared" si="4"/>
        <v>Não</v>
      </c>
      <c r="I133" s="8" t="str">
        <f t="shared" si="5"/>
        <v>Sim</v>
      </c>
      <c r="J133" s="8" t="str">
        <f t="shared" si="6"/>
        <v>Sim</v>
      </c>
      <c r="K133" s="8" t="str">
        <f t="shared" si="7"/>
        <v>Sim</v>
      </c>
      <c r="L133" s="8" t="str">
        <f t="shared" si="8"/>
        <v>Não</v>
      </c>
      <c r="M133" s="8" t="str">
        <f t="shared" si="9"/>
        <v>Sim</v>
      </c>
      <c r="N133" s="8" t="str">
        <f t="shared" si="10"/>
        <v>Sim</v>
      </c>
      <c r="O133" s="8" t="str">
        <f t="shared" si="11"/>
        <v>Sim</v>
      </c>
      <c r="P133" s="8" t="str">
        <f t="shared" si="12"/>
        <v>Sim</v>
      </c>
    </row>
    <row r="134" ht="36.75" hidden="1" customHeight="1">
      <c r="A134" s="5">
        <v>44322.59291104166</v>
      </c>
      <c r="B134" s="6" t="s">
        <v>106</v>
      </c>
      <c r="C134" s="6" t="s">
        <v>107</v>
      </c>
      <c r="D134" s="7" t="s">
        <v>126</v>
      </c>
      <c r="E134" s="8" t="str">
        <f t="shared" si="1"/>
        <v>Não</v>
      </c>
      <c r="F134" s="8" t="str">
        <f t="shared" si="2"/>
        <v>Não</v>
      </c>
      <c r="G134" s="8" t="str">
        <f t="shared" si="3"/>
        <v>Não</v>
      </c>
      <c r="H134" s="8" t="str">
        <f t="shared" si="4"/>
        <v>Não</v>
      </c>
      <c r="I134" s="8" t="str">
        <f t="shared" si="5"/>
        <v>Sim</v>
      </c>
      <c r="J134" s="8" t="str">
        <f t="shared" si="6"/>
        <v>Não</v>
      </c>
      <c r="K134" s="8" t="str">
        <f t="shared" si="7"/>
        <v>Sim</v>
      </c>
      <c r="L134" s="8" t="str">
        <f t="shared" si="8"/>
        <v>Não</v>
      </c>
      <c r="M134" s="8" t="str">
        <f t="shared" si="9"/>
        <v>Não</v>
      </c>
      <c r="N134" s="8" t="str">
        <f t="shared" si="10"/>
        <v>Não</v>
      </c>
      <c r="O134" s="8" t="str">
        <f t="shared" si="11"/>
        <v>Não</v>
      </c>
      <c r="P134" s="8" t="str">
        <f t="shared" si="12"/>
        <v>Sim</v>
      </c>
    </row>
    <row r="135" ht="36.75" hidden="1" customHeight="1">
      <c r="A135" s="5">
        <v>44322.61837590278</v>
      </c>
      <c r="B135" s="6" t="s">
        <v>106</v>
      </c>
      <c r="C135" s="6" t="s">
        <v>107</v>
      </c>
      <c r="D135" s="7" t="s">
        <v>127</v>
      </c>
      <c r="E135" s="8" t="str">
        <f t="shared" si="1"/>
        <v>Sim</v>
      </c>
      <c r="F135" s="8" t="str">
        <f t="shared" si="2"/>
        <v>Não</v>
      </c>
      <c r="G135" s="8" t="str">
        <f t="shared" si="3"/>
        <v>Não</v>
      </c>
      <c r="H135" s="8" t="str">
        <f t="shared" si="4"/>
        <v>Não</v>
      </c>
      <c r="I135" s="8" t="str">
        <f t="shared" si="5"/>
        <v>Não</v>
      </c>
      <c r="J135" s="8" t="str">
        <f t="shared" si="6"/>
        <v>Não</v>
      </c>
      <c r="K135" s="8" t="str">
        <f t="shared" si="7"/>
        <v>Sim</v>
      </c>
      <c r="L135" s="8" t="str">
        <f t="shared" si="8"/>
        <v>Não</v>
      </c>
      <c r="M135" s="8" t="str">
        <f t="shared" si="9"/>
        <v>Não</v>
      </c>
      <c r="N135" s="8" t="str">
        <f t="shared" si="10"/>
        <v>Não</v>
      </c>
      <c r="O135" s="8" t="str">
        <f t="shared" si="11"/>
        <v>Não</v>
      </c>
      <c r="P135" s="8" t="str">
        <f t="shared" si="12"/>
        <v>Sim</v>
      </c>
    </row>
    <row r="136" ht="36.75" hidden="1" customHeight="1">
      <c r="A136" s="5">
        <v>44322.64405858796</v>
      </c>
      <c r="B136" s="6" t="s">
        <v>106</v>
      </c>
      <c r="C136" s="6" t="s">
        <v>107</v>
      </c>
      <c r="D136" s="7" t="s">
        <v>128</v>
      </c>
      <c r="E136" s="8" t="str">
        <f t="shared" si="1"/>
        <v>Não</v>
      </c>
      <c r="F136" s="8" t="str">
        <f t="shared" si="2"/>
        <v>Não</v>
      </c>
      <c r="G136" s="8" t="str">
        <f t="shared" si="3"/>
        <v>Sim</v>
      </c>
      <c r="H136" s="8" t="str">
        <f t="shared" si="4"/>
        <v>Não</v>
      </c>
      <c r="I136" s="8" t="str">
        <f t="shared" si="5"/>
        <v>Sim</v>
      </c>
      <c r="J136" s="8" t="str">
        <f t="shared" si="6"/>
        <v>Não</v>
      </c>
      <c r="K136" s="8" t="str">
        <f t="shared" si="7"/>
        <v>Não</v>
      </c>
      <c r="L136" s="8" t="str">
        <f t="shared" si="8"/>
        <v>Não</v>
      </c>
      <c r="M136" s="8" t="str">
        <f t="shared" si="9"/>
        <v>Não</v>
      </c>
      <c r="N136" s="8" t="str">
        <f t="shared" si="10"/>
        <v>Não</v>
      </c>
      <c r="O136" s="8" t="str">
        <f t="shared" si="11"/>
        <v>Não</v>
      </c>
      <c r="P136" s="8" t="str">
        <f t="shared" si="12"/>
        <v>Sim</v>
      </c>
    </row>
    <row r="137" ht="36.75" hidden="1" customHeight="1">
      <c r="A137" s="5">
        <v>44322.64534962963</v>
      </c>
      <c r="B137" s="6" t="s">
        <v>106</v>
      </c>
      <c r="C137" s="6" t="s">
        <v>107</v>
      </c>
      <c r="D137" s="7" t="s">
        <v>129</v>
      </c>
      <c r="E137" s="8" t="str">
        <f t="shared" si="1"/>
        <v>Não</v>
      </c>
      <c r="F137" s="8" t="str">
        <f t="shared" si="2"/>
        <v>Não</v>
      </c>
      <c r="G137" s="8" t="str">
        <f t="shared" si="3"/>
        <v>Sim</v>
      </c>
      <c r="H137" s="8" t="str">
        <f t="shared" si="4"/>
        <v>Sim</v>
      </c>
      <c r="I137" s="8" t="str">
        <f t="shared" si="5"/>
        <v>Não</v>
      </c>
      <c r="J137" s="8" t="str">
        <f t="shared" si="6"/>
        <v>Sim</v>
      </c>
      <c r="K137" s="8" t="str">
        <f t="shared" si="7"/>
        <v>Não</v>
      </c>
      <c r="L137" s="8" t="str">
        <f t="shared" si="8"/>
        <v>Não</v>
      </c>
      <c r="M137" s="8" t="str">
        <f t="shared" si="9"/>
        <v>Não</v>
      </c>
      <c r="N137" s="8" t="str">
        <f t="shared" si="10"/>
        <v>Não</v>
      </c>
      <c r="O137" s="8" t="str">
        <f t="shared" si="11"/>
        <v>Não</v>
      </c>
      <c r="P137" s="8" t="str">
        <f t="shared" si="12"/>
        <v>Sim</v>
      </c>
    </row>
    <row r="138" ht="36.75" customHeight="1">
      <c r="A138" s="5">
        <v>44322.65284037037</v>
      </c>
      <c r="B138" s="6" t="s">
        <v>106</v>
      </c>
      <c r="C138" s="6" t="s">
        <v>107</v>
      </c>
      <c r="D138" s="7" t="s">
        <v>130</v>
      </c>
      <c r="E138" s="8" t="str">
        <f t="shared" si="1"/>
        <v>Não</v>
      </c>
      <c r="F138" s="8" t="str">
        <f t="shared" si="2"/>
        <v>Não</v>
      </c>
      <c r="G138" s="8" t="str">
        <f t="shared" si="3"/>
        <v>Sim</v>
      </c>
      <c r="H138" s="8" t="str">
        <f t="shared" si="4"/>
        <v>Não</v>
      </c>
      <c r="I138" s="8" t="str">
        <f t="shared" si="5"/>
        <v>Não</v>
      </c>
      <c r="J138" s="8" t="str">
        <f t="shared" si="6"/>
        <v>Sim</v>
      </c>
      <c r="K138" s="8" t="str">
        <f t="shared" si="7"/>
        <v>Sim</v>
      </c>
      <c r="L138" s="8" t="str">
        <f t="shared" si="8"/>
        <v>Não</v>
      </c>
      <c r="M138" s="8" t="str">
        <f t="shared" si="9"/>
        <v>Sim</v>
      </c>
      <c r="N138" s="8" t="str">
        <f t="shared" si="10"/>
        <v>Sim</v>
      </c>
      <c r="O138" s="8" t="str">
        <f t="shared" si="11"/>
        <v>Sim</v>
      </c>
      <c r="P138" s="8" t="str">
        <f t="shared" si="12"/>
        <v>Não</v>
      </c>
    </row>
    <row r="139" ht="36.75" customHeight="1">
      <c r="A139" s="5">
        <v>44322.790226956015</v>
      </c>
      <c r="B139" s="6" t="s">
        <v>106</v>
      </c>
      <c r="C139" s="6" t="s">
        <v>107</v>
      </c>
      <c r="D139" s="7" t="s">
        <v>27</v>
      </c>
      <c r="E139" s="8" t="str">
        <f t="shared" si="1"/>
        <v>Sim</v>
      </c>
      <c r="F139" s="8" t="str">
        <f t="shared" si="2"/>
        <v>Não</v>
      </c>
      <c r="G139" s="8" t="str">
        <f t="shared" si="3"/>
        <v>Sim</v>
      </c>
      <c r="H139" s="8" t="str">
        <f t="shared" si="4"/>
        <v>Sim</v>
      </c>
      <c r="I139" s="8" t="str">
        <f t="shared" si="5"/>
        <v>Sim</v>
      </c>
      <c r="J139" s="8" t="str">
        <f t="shared" si="6"/>
        <v>Sim</v>
      </c>
      <c r="K139" s="8" t="str">
        <f t="shared" si="7"/>
        <v>Não</v>
      </c>
      <c r="L139" s="8" t="str">
        <f t="shared" si="8"/>
        <v>Não</v>
      </c>
      <c r="M139" s="8" t="str">
        <f t="shared" si="9"/>
        <v>Não</v>
      </c>
      <c r="N139" s="8" t="str">
        <f t="shared" si="10"/>
        <v>Não</v>
      </c>
      <c r="O139" s="8" t="str">
        <f t="shared" si="11"/>
        <v>Sim</v>
      </c>
      <c r="P139" s="8" t="str">
        <f t="shared" si="12"/>
        <v>Sim</v>
      </c>
    </row>
    <row r="140" ht="36.75" customHeight="1">
      <c r="A140" s="5">
        <v>44322.85508825231</v>
      </c>
      <c r="B140" s="6" t="s">
        <v>106</v>
      </c>
      <c r="C140" s="6" t="s">
        <v>107</v>
      </c>
      <c r="D140" s="7" t="s">
        <v>131</v>
      </c>
      <c r="E140" s="8" t="str">
        <f t="shared" si="1"/>
        <v>Não</v>
      </c>
      <c r="F140" s="8" t="str">
        <f t="shared" si="2"/>
        <v>Não</v>
      </c>
      <c r="G140" s="8" t="str">
        <f t="shared" si="3"/>
        <v>Sim</v>
      </c>
      <c r="H140" s="8" t="str">
        <f t="shared" si="4"/>
        <v>Não</v>
      </c>
      <c r="I140" s="8" t="str">
        <f t="shared" si="5"/>
        <v>Sim</v>
      </c>
      <c r="J140" s="8" t="str">
        <f t="shared" si="6"/>
        <v>Sim</v>
      </c>
      <c r="K140" s="8" t="str">
        <f t="shared" si="7"/>
        <v>Não</v>
      </c>
      <c r="L140" s="8" t="str">
        <f t="shared" si="8"/>
        <v>Não</v>
      </c>
      <c r="M140" s="8" t="str">
        <f t="shared" si="9"/>
        <v>Sim</v>
      </c>
      <c r="N140" s="8" t="str">
        <f t="shared" si="10"/>
        <v>Não</v>
      </c>
      <c r="O140" s="8" t="str">
        <f t="shared" si="11"/>
        <v>Sim</v>
      </c>
      <c r="P140" s="8" t="str">
        <f t="shared" si="12"/>
        <v>Sim</v>
      </c>
    </row>
    <row r="141" ht="36.75" customHeight="1">
      <c r="A141" s="5">
        <v>44322.867087199076</v>
      </c>
      <c r="B141" s="6" t="s">
        <v>106</v>
      </c>
      <c r="C141" s="6" t="s">
        <v>107</v>
      </c>
      <c r="D141" s="7" t="s">
        <v>119</v>
      </c>
      <c r="E141" s="8" t="str">
        <f t="shared" si="1"/>
        <v>Sim</v>
      </c>
      <c r="F141" s="8" t="str">
        <f t="shared" si="2"/>
        <v>Não</v>
      </c>
      <c r="G141" s="8" t="str">
        <f t="shared" si="3"/>
        <v>Sim</v>
      </c>
      <c r="H141" s="8" t="str">
        <f t="shared" si="4"/>
        <v>Não</v>
      </c>
      <c r="I141" s="8" t="str">
        <f t="shared" si="5"/>
        <v>Sim</v>
      </c>
      <c r="J141" s="8" t="str">
        <f t="shared" si="6"/>
        <v>Sim</v>
      </c>
      <c r="K141" s="8" t="str">
        <f t="shared" si="7"/>
        <v>Sim</v>
      </c>
      <c r="L141" s="8" t="str">
        <f t="shared" si="8"/>
        <v>Não</v>
      </c>
      <c r="M141" s="8" t="str">
        <f t="shared" si="9"/>
        <v>Não</v>
      </c>
      <c r="N141" s="8" t="str">
        <f t="shared" si="10"/>
        <v>Não</v>
      </c>
      <c r="O141" s="8" t="str">
        <f t="shared" si="11"/>
        <v>Sim</v>
      </c>
      <c r="P141" s="8" t="str">
        <f t="shared" si="12"/>
        <v>Sim</v>
      </c>
    </row>
    <row r="142" ht="36.75" hidden="1" customHeight="1">
      <c r="A142" s="5">
        <v>44322.890828958334</v>
      </c>
      <c r="B142" s="6" t="s">
        <v>106</v>
      </c>
      <c r="C142" s="6" t="s">
        <v>107</v>
      </c>
      <c r="D142" s="7" t="s">
        <v>132</v>
      </c>
      <c r="E142" s="8" t="str">
        <f t="shared" si="1"/>
        <v>Não</v>
      </c>
      <c r="F142" s="8" t="str">
        <f t="shared" si="2"/>
        <v>Não</v>
      </c>
      <c r="G142" s="8" t="str">
        <f t="shared" si="3"/>
        <v>Sim</v>
      </c>
      <c r="H142" s="8" t="str">
        <f t="shared" si="4"/>
        <v>Não</v>
      </c>
      <c r="I142" s="8" t="str">
        <f t="shared" si="5"/>
        <v>Sim</v>
      </c>
      <c r="J142" s="8" t="str">
        <f t="shared" si="6"/>
        <v>Não</v>
      </c>
      <c r="K142" s="8" t="str">
        <f t="shared" si="7"/>
        <v>Sim</v>
      </c>
      <c r="L142" s="8" t="str">
        <f t="shared" si="8"/>
        <v>Não</v>
      </c>
      <c r="M142" s="8" t="str">
        <f t="shared" si="9"/>
        <v>Não</v>
      </c>
      <c r="N142" s="8" t="str">
        <f t="shared" si="10"/>
        <v>Não</v>
      </c>
      <c r="O142" s="8" t="str">
        <f t="shared" si="11"/>
        <v>Não</v>
      </c>
      <c r="P142" s="8" t="str">
        <f t="shared" si="12"/>
        <v>Não</v>
      </c>
    </row>
    <row r="143" ht="36.75" hidden="1" customHeight="1">
      <c r="A143" s="5">
        <v>44322.89285399306</v>
      </c>
      <c r="B143" s="6" t="s">
        <v>106</v>
      </c>
      <c r="C143" s="6" t="s">
        <v>107</v>
      </c>
      <c r="D143" s="7" t="s">
        <v>133</v>
      </c>
      <c r="E143" s="8" t="str">
        <f t="shared" si="1"/>
        <v>Sim</v>
      </c>
      <c r="F143" s="8" t="str">
        <f t="shared" si="2"/>
        <v>Não</v>
      </c>
      <c r="G143" s="8" t="str">
        <f t="shared" si="3"/>
        <v>Sim</v>
      </c>
      <c r="H143" s="8" t="str">
        <f t="shared" si="4"/>
        <v>Sim</v>
      </c>
      <c r="I143" s="8" t="str">
        <f t="shared" si="5"/>
        <v>Não</v>
      </c>
      <c r="J143" s="8" t="str">
        <f t="shared" si="6"/>
        <v>Sim</v>
      </c>
      <c r="K143" s="8" t="str">
        <f t="shared" si="7"/>
        <v>Sim</v>
      </c>
      <c r="L143" s="8" t="str">
        <f t="shared" si="8"/>
        <v>Não</v>
      </c>
      <c r="M143" s="8" t="str">
        <f t="shared" si="9"/>
        <v>Sim</v>
      </c>
      <c r="N143" s="8" t="str">
        <f t="shared" si="10"/>
        <v>Não</v>
      </c>
      <c r="O143" s="8" t="str">
        <f t="shared" si="11"/>
        <v>Não</v>
      </c>
      <c r="P143" s="8" t="str">
        <f t="shared" si="12"/>
        <v>Não</v>
      </c>
    </row>
    <row r="144" ht="36.75" hidden="1" customHeight="1">
      <c r="A144" s="5">
        <v>44322.93315140046</v>
      </c>
      <c r="B144" s="6" t="s">
        <v>106</v>
      </c>
      <c r="C144" s="6" t="s">
        <v>107</v>
      </c>
      <c r="D144" s="7" t="s">
        <v>134</v>
      </c>
      <c r="E144" s="8" t="str">
        <f t="shared" si="1"/>
        <v>Não</v>
      </c>
      <c r="F144" s="8" t="str">
        <f t="shared" si="2"/>
        <v>Não</v>
      </c>
      <c r="G144" s="8" t="str">
        <f t="shared" si="3"/>
        <v>Sim</v>
      </c>
      <c r="H144" s="8" t="str">
        <f t="shared" si="4"/>
        <v>Não</v>
      </c>
      <c r="I144" s="8" t="str">
        <f t="shared" si="5"/>
        <v>Não</v>
      </c>
      <c r="J144" s="8" t="str">
        <f t="shared" si="6"/>
        <v>Sim</v>
      </c>
      <c r="K144" s="8" t="str">
        <f t="shared" si="7"/>
        <v>Não</v>
      </c>
      <c r="L144" s="8" t="str">
        <f t="shared" si="8"/>
        <v>Não</v>
      </c>
      <c r="M144" s="8" t="str">
        <f t="shared" si="9"/>
        <v>Não</v>
      </c>
      <c r="N144" s="8" t="str">
        <f t="shared" si="10"/>
        <v>Sim</v>
      </c>
      <c r="O144" s="8" t="str">
        <f t="shared" si="11"/>
        <v>Não</v>
      </c>
      <c r="P144" s="8" t="str">
        <f t="shared" si="12"/>
        <v>Não</v>
      </c>
    </row>
    <row r="145" ht="36.75" customHeight="1">
      <c r="A145" s="5">
        <v>44323.02240071759</v>
      </c>
      <c r="B145" s="6" t="s">
        <v>106</v>
      </c>
      <c r="C145" s="6" t="s">
        <v>107</v>
      </c>
      <c r="D145" s="7" t="s">
        <v>119</v>
      </c>
      <c r="E145" s="8" t="str">
        <f t="shared" si="1"/>
        <v>Sim</v>
      </c>
      <c r="F145" s="8" t="str">
        <f t="shared" si="2"/>
        <v>Não</v>
      </c>
      <c r="G145" s="8" t="str">
        <f t="shared" si="3"/>
        <v>Sim</v>
      </c>
      <c r="H145" s="8" t="str">
        <f t="shared" si="4"/>
        <v>Não</v>
      </c>
      <c r="I145" s="8" t="str">
        <f t="shared" si="5"/>
        <v>Sim</v>
      </c>
      <c r="J145" s="8" t="str">
        <f t="shared" si="6"/>
        <v>Sim</v>
      </c>
      <c r="K145" s="8" t="str">
        <f t="shared" si="7"/>
        <v>Sim</v>
      </c>
      <c r="L145" s="8" t="str">
        <f t="shared" si="8"/>
        <v>Não</v>
      </c>
      <c r="M145" s="8" t="str">
        <f t="shared" si="9"/>
        <v>Não</v>
      </c>
      <c r="N145" s="8" t="str">
        <f t="shared" si="10"/>
        <v>Não</v>
      </c>
      <c r="O145" s="8" t="str">
        <f t="shared" si="11"/>
        <v>Sim</v>
      </c>
      <c r="P145" s="8" t="str">
        <f t="shared" si="12"/>
        <v>Sim</v>
      </c>
    </row>
    <row r="146" ht="36.75" hidden="1" customHeight="1">
      <c r="A146" s="5">
        <v>44323.28060533565</v>
      </c>
      <c r="B146" s="6" t="s">
        <v>106</v>
      </c>
      <c r="C146" s="6" t="s">
        <v>107</v>
      </c>
      <c r="D146" s="7" t="s">
        <v>135</v>
      </c>
      <c r="E146" s="8" t="str">
        <f t="shared" si="1"/>
        <v>Não</v>
      </c>
      <c r="F146" s="8" t="str">
        <f t="shared" si="2"/>
        <v>Não</v>
      </c>
      <c r="G146" s="8" t="str">
        <f t="shared" si="3"/>
        <v>Sim</v>
      </c>
      <c r="H146" s="8" t="str">
        <f t="shared" si="4"/>
        <v>Não</v>
      </c>
      <c r="I146" s="8" t="str">
        <f t="shared" si="5"/>
        <v>Não</v>
      </c>
      <c r="J146" s="8" t="str">
        <f t="shared" si="6"/>
        <v>Não</v>
      </c>
      <c r="K146" s="8" t="str">
        <f t="shared" si="7"/>
        <v>Não</v>
      </c>
      <c r="L146" s="8" t="str">
        <f t="shared" si="8"/>
        <v>Não</v>
      </c>
      <c r="M146" s="8" t="str">
        <f t="shared" si="9"/>
        <v>Não</v>
      </c>
      <c r="N146" s="8" t="str">
        <f t="shared" si="10"/>
        <v>Não</v>
      </c>
      <c r="O146" s="8" t="str">
        <f t="shared" si="11"/>
        <v>Não</v>
      </c>
      <c r="P146" s="8" t="str">
        <f t="shared" si="12"/>
        <v>Não</v>
      </c>
    </row>
    <row r="147" ht="36.75" customHeight="1">
      <c r="A147" s="5">
        <v>44323.31079880787</v>
      </c>
      <c r="B147" s="6" t="s">
        <v>106</v>
      </c>
      <c r="C147" s="6" t="s">
        <v>107</v>
      </c>
      <c r="D147" s="7" t="s">
        <v>84</v>
      </c>
      <c r="E147" s="8" t="str">
        <f t="shared" si="1"/>
        <v>Sim</v>
      </c>
      <c r="F147" s="8" t="str">
        <f t="shared" si="2"/>
        <v>Não</v>
      </c>
      <c r="G147" s="8" t="str">
        <f t="shared" si="3"/>
        <v>Sim</v>
      </c>
      <c r="H147" s="8" t="str">
        <f t="shared" si="4"/>
        <v>Não</v>
      </c>
      <c r="I147" s="8" t="str">
        <f t="shared" si="5"/>
        <v>Sim</v>
      </c>
      <c r="J147" s="8" t="str">
        <f t="shared" si="6"/>
        <v>Não</v>
      </c>
      <c r="K147" s="8" t="str">
        <f t="shared" si="7"/>
        <v>Sim</v>
      </c>
      <c r="L147" s="8" t="str">
        <f t="shared" si="8"/>
        <v>Não</v>
      </c>
      <c r="M147" s="8" t="str">
        <f t="shared" si="9"/>
        <v>Sim</v>
      </c>
      <c r="N147" s="8" t="str">
        <f t="shared" si="10"/>
        <v>Sim</v>
      </c>
      <c r="O147" s="8" t="str">
        <f t="shared" si="11"/>
        <v>Sim</v>
      </c>
      <c r="P147" s="8" t="str">
        <f t="shared" si="12"/>
        <v>Sim</v>
      </c>
    </row>
    <row r="148" ht="36.75" customHeight="1">
      <c r="A148" s="5">
        <v>44323.54684917824</v>
      </c>
      <c r="B148" s="6" t="s">
        <v>106</v>
      </c>
      <c r="C148" s="6" t="s">
        <v>107</v>
      </c>
      <c r="D148" s="7" t="s">
        <v>114</v>
      </c>
      <c r="E148" s="8" t="str">
        <f t="shared" si="1"/>
        <v>Não</v>
      </c>
      <c r="F148" s="8" t="str">
        <f t="shared" si="2"/>
        <v>Não</v>
      </c>
      <c r="G148" s="8" t="str">
        <f t="shared" si="3"/>
        <v>Não</v>
      </c>
      <c r="H148" s="8" t="str">
        <f t="shared" si="4"/>
        <v>Não</v>
      </c>
      <c r="I148" s="8" t="str">
        <f t="shared" si="5"/>
        <v>Sim</v>
      </c>
      <c r="J148" s="8" t="str">
        <f t="shared" si="6"/>
        <v>Sim</v>
      </c>
      <c r="K148" s="8" t="str">
        <f t="shared" si="7"/>
        <v>Sim</v>
      </c>
      <c r="L148" s="8" t="str">
        <f t="shared" si="8"/>
        <v>Não</v>
      </c>
      <c r="M148" s="8" t="str">
        <f t="shared" si="9"/>
        <v>Sim</v>
      </c>
      <c r="N148" s="8" t="str">
        <f t="shared" si="10"/>
        <v>Sim</v>
      </c>
      <c r="O148" s="8" t="str">
        <f t="shared" si="11"/>
        <v>Sim</v>
      </c>
      <c r="P148" s="8" t="str">
        <f t="shared" si="12"/>
        <v>Sim</v>
      </c>
    </row>
    <row r="149" ht="36.75" customHeight="1">
      <c r="A149" s="5">
        <v>44323.72917736111</v>
      </c>
      <c r="B149" s="6" t="s">
        <v>106</v>
      </c>
      <c r="C149" s="6" t="s">
        <v>107</v>
      </c>
      <c r="D149" s="7" t="s">
        <v>118</v>
      </c>
      <c r="E149" s="8" t="str">
        <f t="shared" si="1"/>
        <v>Não</v>
      </c>
      <c r="F149" s="8" t="str">
        <f t="shared" si="2"/>
        <v>Não</v>
      </c>
      <c r="G149" s="8" t="str">
        <f t="shared" si="3"/>
        <v>Sim</v>
      </c>
      <c r="H149" s="8" t="str">
        <f t="shared" si="4"/>
        <v>Não</v>
      </c>
      <c r="I149" s="8" t="str">
        <f t="shared" si="5"/>
        <v>Sim</v>
      </c>
      <c r="J149" s="8" t="str">
        <f t="shared" si="6"/>
        <v>Sim</v>
      </c>
      <c r="K149" s="8" t="str">
        <f t="shared" si="7"/>
        <v>Sim</v>
      </c>
      <c r="L149" s="8" t="str">
        <f t="shared" si="8"/>
        <v>Não</v>
      </c>
      <c r="M149" s="8" t="str">
        <f t="shared" si="9"/>
        <v>Sim</v>
      </c>
      <c r="N149" s="8" t="str">
        <f t="shared" si="10"/>
        <v>Não</v>
      </c>
      <c r="O149" s="8" t="str">
        <f t="shared" si="11"/>
        <v>Sim</v>
      </c>
      <c r="P149" s="8" t="str">
        <f t="shared" si="12"/>
        <v>Sim</v>
      </c>
    </row>
    <row r="150" ht="36.75" customHeight="1">
      <c r="A150" s="5">
        <v>44324.565190636575</v>
      </c>
      <c r="B150" s="6" t="s">
        <v>106</v>
      </c>
      <c r="C150" s="6" t="s">
        <v>107</v>
      </c>
      <c r="D150" s="7" t="s">
        <v>118</v>
      </c>
      <c r="E150" s="8" t="str">
        <f t="shared" si="1"/>
        <v>Não</v>
      </c>
      <c r="F150" s="8" t="str">
        <f t="shared" si="2"/>
        <v>Não</v>
      </c>
      <c r="G150" s="8" t="str">
        <f t="shared" si="3"/>
        <v>Sim</v>
      </c>
      <c r="H150" s="8" t="str">
        <f t="shared" si="4"/>
        <v>Não</v>
      </c>
      <c r="I150" s="8" t="str">
        <f t="shared" si="5"/>
        <v>Sim</v>
      </c>
      <c r="J150" s="8" t="str">
        <f t="shared" si="6"/>
        <v>Sim</v>
      </c>
      <c r="K150" s="8" t="str">
        <f t="shared" si="7"/>
        <v>Sim</v>
      </c>
      <c r="L150" s="8" t="str">
        <f t="shared" si="8"/>
        <v>Não</v>
      </c>
      <c r="M150" s="8" t="str">
        <f t="shared" si="9"/>
        <v>Sim</v>
      </c>
      <c r="N150" s="8" t="str">
        <f t="shared" si="10"/>
        <v>Não</v>
      </c>
      <c r="O150" s="8" t="str">
        <f t="shared" si="11"/>
        <v>Sim</v>
      </c>
      <c r="P150" s="8" t="str">
        <f t="shared" si="12"/>
        <v>Sim</v>
      </c>
    </row>
    <row r="151" ht="36.75" customHeight="1">
      <c r="A151" s="5">
        <v>44324.8504215162</v>
      </c>
      <c r="B151" s="6" t="s">
        <v>106</v>
      </c>
      <c r="C151" s="6" t="s">
        <v>107</v>
      </c>
      <c r="D151" s="7" t="s">
        <v>114</v>
      </c>
      <c r="E151" s="8" t="str">
        <f t="shared" si="1"/>
        <v>Não</v>
      </c>
      <c r="F151" s="8" t="str">
        <f t="shared" si="2"/>
        <v>Não</v>
      </c>
      <c r="G151" s="8" t="str">
        <f t="shared" si="3"/>
        <v>Não</v>
      </c>
      <c r="H151" s="8" t="str">
        <f t="shared" si="4"/>
        <v>Não</v>
      </c>
      <c r="I151" s="8" t="str">
        <f t="shared" si="5"/>
        <v>Sim</v>
      </c>
      <c r="J151" s="8" t="str">
        <f t="shared" si="6"/>
        <v>Sim</v>
      </c>
      <c r="K151" s="8" t="str">
        <f t="shared" si="7"/>
        <v>Sim</v>
      </c>
      <c r="L151" s="8" t="str">
        <f t="shared" si="8"/>
        <v>Não</v>
      </c>
      <c r="M151" s="8" t="str">
        <f t="shared" si="9"/>
        <v>Sim</v>
      </c>
      <c r="N151" s="8" t="str">
        <f t="shared" si="10"/>
        <v>Sim</v>
      </c>
      <c r="O151" s="8" t="str">
        <f t="shared" si="11"/>
        <v>Sim</v>
      </c>
      <c r="P151" s="8" t="str">
        <f t="shared" si="12"/>
        <v>Sim</v>
      </c>
    </row>
    <row r="152" ht="36.75" hidden="1" customHeight="1">
      <c r="A152" s="5">
        <v>44322.28429324074</v>
      </c>
      <c r="B152" s="6" t="s">
        <v>136</v>
      </c>
      <c r="C152" s="6" t="s">
        <v>137</v>
      </c>
      <c r="D152" s="7" t="s">
        <v>138</v>
      </c>
      <c r="E152" s="8" t="str">
        <f t="shared" si="1"/>
        <v>Não</v>
      </c>
      <c r="F152" s="8" t="str">
        <f t="shared" si="2"/>
        <v>Não</v>
      </c>
      <c r="G152" s="8" t="str">
        <f t="shared" si="3"/>
        <v>Não</v>
      </c>
      <c r="H152" s="8" t="str">
        <f t="shared" si="4"/>
        <v>Não</v>
      </c>
      <c r="I152" s="8" t="str">
        <f t="shared" si="5"/>
        <v>Sim</v>
      </c>
      <c r="J152" s="8" t="str">
        <f t="shared" si="6"/>
        <v>Não</v>
      </c>
      <c r="K152" s="8" t="str">
        <f t="shared" si="7"/>
        <v>Não</v>
      </c>
      <c r="L152" s="8" t="str">
        <f t="shared" si="8"/>
        <v>Não</v>
      </c>
      <c r="M152" s="8" t="str">
        <f t="shared" si="9"/>
        <v>Não</v>
      </c>
      <c r="N152" s="8" t="str">
        <f t="shared" si="10"/>
        <v>Sim</v>
      </c>
      <c r="O152" s="8" t="str">
        <f t="shared" si="11"/>
        <v>Não</v>
      </c>
      <c r="P152" s="8" t="str">
        <f t="shared" si="12"/>
        <v>Não</v>
      </c>
    </row>
    <row r="153" ht="36.75" customHeight="1">
      <c r="A153" s="5">
        <v>44322.43122947917</v>
      </c>
      <c r="B153" s="6" t="s">
        <v>136</v>
      </c>
      <c r="C153" s="6" t="s">
        <v>137</v>
      </c>
      <c r="D153" s="7" t="s">
        <v>139</v>
      </c>
      <c r="E153" s="8" t="str">
        <f t="shared" si="1"/>
        <v>Sim</v>
      </c>
      <c r="F153" s="8" t="str">
        <f t="shared" si="2"/>
        <v>Sim</v>
      </c>
      <c r="G153" s="8" t="str">
        <f t="shared" si="3"/>
        <v>Sim</v>
      </c>
      <c r="H153" s="8" t="str">
        <f t="shared" si="4"/>
        <v>Não</v>
      </c>
      <c r="I153" s="8" t="str">
        <f t="shared" si="5"/>
        <v>Não</v>
      </c>
      <c r="J153" s="8" t="str">
        <f t="shared" si="6"/>
        <v>Sim</v>
      </c>
      <c r="K153" s="8" t="str">
        <f t="shared" si="7"/>
        <v>Não</v>
      </c>
      <c r="L153" s="8" t="str">
        <f t="shared" si="8"/>
        <v>Não</v>
      </c>
      <c r="M153" s="8" t="str">
        <f t="shared" si="9"/>
        <v>Sim</v>
      </c>
      <c r="N153" s="8" t="str">
        <f t="shared" si="10"/>
        <v>Sim</v>
      </c>
      <c r="O153" s="8" t="str">
        <f t="shared" si="11"/>
        <v>Sim</v>
      </c>
      <c r="P153" s="8" t="str">
        <f t="shared" si="12"/>
        <v>Sim</v>
      </c>
    </row>
    <row r="154" ht="36.75" hidden="1" customHeight="1">
      <c r="A154" s="5">
        <v>44322.43130616898</v>
      </c>
      <c r="B154" s="6" t="s">
        <v>136</v>
      </c>
      <c r="C154" s="6" t="s">
        <v>137</v>
      </c>
      <c r="D154" s="7" t="s">
        <v>21</v>
      </c>
      <c r="E154" s="8" t="str">
        <f t="shared" si="1"/>
        <v>Sim</v>
      </c>
      <c r="F154" s="8" t="str">
        <f t="shared" si="2"/>
        <v>Não</v>
      </c>
      <c r="G154" s="8" t="str">
        <f t="shared" si="3"/>
        <v>Sim</v>
      </c>
      <c r="H154" s="8" t="str">
        <f t="shared" si="4"/>
        <v>Não</v>
      </c>
      <c r="I154" s="8" t="str">
        <f t="shared" si="5"/>
        <v>Não</v>
      </c>
      <c r="J154" s="8" t="str">
        <f t="shared" si="6"/>
        <v>Sim</v>
      </c>
      <c r="K154" s="8" t="str">
        <f t="shared" si="7"/>
        <v>Não</v>
      </c>
      <c r="L154" s="8" t="str">
        <f t="shared" si="8"/>
        <v>Não</v>
      </c>
      <c r="M154" s="8" t="str">
        <f t="shared" si="9"/>
        <v>Não</v>
      </c>
      <c r="N154" s="8" t="str">
        <f t="shared" si="10"/>
        <v>Não</v>
      </c>
      <c r="O154" s="8" t="str">
        <f t="shared" si="11"/>
        <v>Não</v>
      </c>
      <c r="P154" s="8" t="str">
        <f t="shared" si="12"/>
        <v>Sim</v>
      </c>
    </row>
    <row r="155" ht="36.75" hidden="1" customHeight="1">
      <c r="A155" s="5">
        <v>44322.44955085649</v>
      </c>
      <c r="B155" s="6" t="s">
        <v>136</v>
      </c>
      <c r="C155" s="6" t="s">
        <v>137</v>
      </c>
      <c r="D155" s="7" t="s">
        <v>140</v>
      </c>
      <c r="E155" s="8" t="str">
        <f t="shared" si="1"/>
        <v>Sim</v>
      </c>
      <c r="F155" s="8" t="str">
        <f t="shared" si="2"/>
        <v>Não</v>
      </c>
      <c r="G155" s="8" t="str">
        <f t="shared" si="3"/>
        <v>Sim</v>
      </c>
      <c r="H155" s="8" t="str">
        <f t="shared" si="4"/>
        <v>Não</v>
      </c>
      <c r="I155" s="8" t="str">
        <f t="shared" si="5"/>
        <v>Sim</v>
      </c>
      <c r="J155" s="8" t="str">
        <f t="shared" si="6"/>
        <v>Sim</v>
      </c>
      <c r="K155" s="8" t="str">
        <f t="shared" si="7"/>
        <v>Sim</v>
      </c>
      <c r="L155" s="8" t="str">
        <f t="shared" si="8"/>
        <v>Não</v>
      </c>
      <c r="M155" s="8" t="str">
        <f t="shared" si="9"/>
        <v>Sim</v>
      </c>
      <c r="N155" s="8" t="str">
        <f t="shared" si="10"/>
        <v>Sim</v>
      </c>
      <c r="O155" s="8" t="str">
        <f t="shared" si="11"/>
        <v>Não</v>
      </c>
      <c r="P155" s="8" t="str">
        <f t="shared" si="12"/>
        <v>Sim</v>
      </c>
    </row>
    <row r="156" ht="36.75" hidden="1" customHeight="1">
      <c r="A156" s="5">
        <v>44322.467403703704</v>
      </c>
      <c r="B156" s="6" t="s">
        <v>136</v>
      </c>
      <c r="C156" s="6" t="s">
        <v>137</v>
      </c>
      <c r="D156" s="7" t="s">
        <v>141</v>
      </c>
      <c r="E156" s="8" t="str">
        <f t="shared" si="1"/>
        <v>Sim</v>
      </c>
      <c r="F156" s="8" t="str">
        <f t="shared" si="2"/>
        <v>Não</v>
      </c>
      <c r="G156" s="8" t="str">
        <f t="shared" si="3"/>
        <v>Sim</v>
      </c>
      <c r="H156" s="8" t="str">
        <f t="shared" si="4"/>
        <v>Não</v>
      </c>
      <c r="I156" s="8" t="str">
        <f t="shared" si="5"/>
        <v>Sim</v>
      </c>
      <c r="J156" s="8" t="str">
        <f t="shared" si="6"/>
        <v>Não</v>
      </c>
      <c r="K156" s="8" t="str">
        <f t="shared" si="7"/>
        <v>Sim</v>
      </c>
      <c r="L156" s="8" t="str">
        <f t="shared" si="8"/>
        <v>Não</v>
      </c>
      <c r="M156" s="8" t="str">
        <f t="shared" si="9"/>
        <v>Não</v>
      </c>
      <c r="N156" s="8" t="str">
        <f t="shared" si="10"/>
        <v>Não</v>
      </c>
      <c r="O156" s="8" t="str">
        <f t="shared" si="11"/>
        <v>Não</v>
      </c>
      <c r="P156" s="8" t="str">
        <f t="shared" si="12"/>
        <v>Sim</v>
      </c>
    </row>
    <row r="157" ht="36.75" hidden="1" customHeight="1">
      <c r="A157" s="5">
        <v>44322.52964584491</v>
      </c>
      <c r="B157" s="6" t="s">
        <v>136</v>
      </c>
      <c r="C157" s="6" t="s">
        <v>137</v>
      </c>
      <c r="D157" s="7" t="s">
        <v>142</v>
      </c>
      <c r="E157" s="8" t="str">
        <f t="shared" si="1"/>
        <v>Não</v>
      </c>
      <c r="F157" s="8" t="str">
        <f t="shared" si="2"/>
        <v>Não</v>
      </c>
      <c r="G157" s="8" t="str">
        <f t="shared" si="3"/>
        <v>Sim</v>
      </c>
      <c r="H157" s="8" t="str">
        <f t="shared" si="4"/>
        <v>Sim</v>
      </c>
      <c r="I157" s="8" t="str">
        <f t="shared" si="5"/>
        <v>Não</v>
      </c>
      <c r="J157" s="8" t="str">
        <f t="shared" si="6"/>
        <v>Sim</v>
      </c>
      <c r="K157" s="8" t="str">
        <f t="shared" si="7"/>
        <v>Não</v>
      </c>
      <c r="L157" s="8" t="str">
        <f t="shared" si="8"/>
        <v>Não</v>
      </c>
      <c r="M157" s="8" t="str">
        <f t="shared" si="9"/>
        <v>Não</v>
      </c>
      <c r="N157" s="8" t="str">
        <f t="shared" si="10"/>
        <v>Sim</v>
      </c>
      <c r="O157" s="8" t="str">
        <f t="shared" si="11"/>
        <v>Não</v>
      </c>
      <c r="P157" s="8" t="str">
        <f t="shared" si="12"/>
        <v>Sim</v>
      </c>
    </row>
    <row r="158" ht="36.75" hidden="1" customHeight="1">
      <c r="A158" s="5">
        <v>44322.560407199075</v>
      </c>
      <c r="B158" s="6" t="s">
        <v>136</v>
      </c>
      <c r="C158" s="6" t="s">
        <v>137</v>
      </c>
      <c r="D158" s="7" t="s">
        <v>143</v>
      </c>
      <c r="E158" s="8" t="str">
        <f t="shared" si="1"/>
        <v>Sim</v>
      </c>
      <c r="F158" s="8" t="str">
        <f t="shared" si="2"/>
        <v>Sim</v>
      </c>
      <c r="G158" s="8" t="str">
        <f t="shared" si="3"/>
        <v>Sim</v>
      </c>
      <c r="H158" s="8" t="str">
        <f t="shared" si="4"/>
        <v>Não</v>
      </c>
      <c r="I158" s="8" t="str">
        <f t="shared" si="5"/>
        <v>Sim</v>
      </c>
      <c r="J158" s="8" t="str">
        <f t="shared" si="6"/>
        <v>Não</v>
      </c>
      <c r="K158" s="8" t="str">
        <f t="shared" si="7"/>
        <v>Não</v>
      </c>
      <c r="L158" s="8" t="str">
        <f t="shared" si="8"/>
        <v>Não</v>
      </c>
      <c r="M158" s="8" t="str">
        <f t="shared" si="9"/>
        <v>Sim</v>
      </c>
      <c r="N158" s="8" t="str">
        <f t="shared" si="10"/>
        <v>Não</v>
      </c>
      <c r="O158" s="8" t="str">
        <f t="shared" si="11"/>
        <v>Não</v>
      </c>
      <c r="P158" s="8" t="str">
        <f t="shared" si="12"/>
        <v>Sim</v>
      </c>
    </row>
    <row r="159" ht="36.75" hidden="1" customHeight="1">
      <c r="A159" s="5">
        <v>44322.561140590275</v>
      </c>
      <c r="B159" s="6" t="s">
        <v>136</v>
      </c>
      <c r="C159" s="6" t="s">
        <v>137</v>
      </c>
      <c r="D159" s="7" t="s">
        <v>129</v>
      </c>
      <c r="E159" s="8" t="str">
        <f t="shared" si="1"/>
        <v>Não</v>
      </c>
      <c r="F159" s="8" t="str">
        <f t="shared" si="2"/>
        <v>Não</v>
      </c>
      <c r="G159" s="8" t="str">
        <f t="shared" si="3"/>
        <v>Sim</v>
      </c>
      <c r="H159" s="8" t="str">
        <f t="shared" si="4"/>
        <v>Sim</v>
      </c>
      <c r="I159" s="8" t="str">
        <f t="shared" si="5"/>
        <v>Não</v>
      </c>
      <c r="J159" s="8" t="str">
        <f t="shared" si="6"/>
        <v>Sim</v>
      </c>
      <c r="K159" s="8" t="str">
        <f t="shared" si="7"/>
        <v>Não</v>
      </c>
      <c r="L159" s="8" t="str">
        <f t="shared" si="8"/>
        <v>Não</v>
      </c>
      <c r="M159" s="8" t="str">
        <f t="shared" si="9"/>
        <v>Não</v>
      </c>
      <c r="N159" s="8" t="str">
        <f t="shared" si="10"/>
        <v>Não</v>
      </c>
      <c r="O159" s="8" t="str">
        <f t="shared" si="11"/>
        <v>Não</v>
      </c>
      <c r="P159" s="8" t="str">
        <f t="shared" si="12"/>
        <v>Sim</v>
      </c>
    </row>
    <row r="160" ht="36.75" hidden="1" customHeight="1">
      <c r="A160" s="5">
        <v>44322.60210456018</v>
      </c>
      <c r="B160" s="6" t="s">
        <v>136</v>
      </c>
      <c r="C160" s="6" t="s">
        <v>137</v>
      </c>
      <c r="D160" s="7" t="s">
        <v>4</v>
      </c>
      <c r="E160" s="8" t="str">
        <f t="shared" si="1"/>
        <v>Sim</v>
      </c>
      <c r="F160" s="8" t="str">
        <f t="shared" si="2"/>
        <v>Não</v>
      </c>
      <c r="G160" s="8" t="str">
        <f t="shared" si="3"/>
        <v>Não</v>
      </c>
      <c r="H160" s="8" t="str">
        <f t="shared" si="4"/>
        <v>Não</v>
      </c>
      <c r="I160" s="8" t="str">
        <f t="shared" si="5"/>
        <v>Não</v>
      </c>
      <c r="J160" s="8" t="str">
        <f t="shared" si="6"/>
        <v>Não</v>
      </c>
      <c r="K160" s="8" t="str">
        <f t="shared" si="7"/>
        <v>Não</v>
      </c>
      <c r="L160" s="8" t="str">
        <f t="shared" si="8"/>
        <v>Não</v>
      </c>
      <c r="M160" s="8" t="str">
        <f t="shared" si="9"/>
        <v>Não</v>
      </c>
      <c r="N160" s="8" t="str">
        <f t="shared" si="10"/>
        <v>Não</v>
      </c>
      <c r="O160" s="8" t="str">
        <f t="shared" si="11"/>
        <v>Não</v>
      </c>
      <c r="P160" s="8" t="str">
        <f t="shared" si="12"/>
        <v>Não</v>
      </c>
    </row>
    <row r="161" ht="36.75" hidden="1" customHeight="1">
      <c r="A161" s="5">
        <v>44322.60286803241</v>
      </c>
      <c r="B161" s="6" t="s">
        <v>136</v>
      </c>
      <c r="C161" s="6" t="s">
        <v>137</v>
      </c>
      <c r="D161" s="7" t="s">
        <v>69</v>
      </c>
      <c r="E161" s="8" t="str">
        <f t="shared" si="1"/>
        <v>Sim</v>
      </c>
      <c r="F161" s="8" t="str">
        <f t="shared" si="2"/>
        <v>Não</v>
      </c>
      <c r="G161" s="8" t="str">
        <f t="shared" si="3"/>
        <v>Sim</v>
      </c>
      <c r="H161" s="8" t="str">
        <f t="shared" si="4"/>
        <v>Não</v>
      </c>
      <c r="I161" s="8" t="str">
        <f t="shared" si="5"/>
        <v>Não</v>
      </c>
      <c r="J161" s="8" t="str">
        <f t="shared" si="6"/>
        <v>Não</v>
      </c>
      <c r="K161" s="8" t="str">
        <f t="shared" si="7"/>
        <v>Sim</v>
      </c>
      <c r="L161" s="8" t="str">
        <f t="shared" si="8"/>
        <v>Não</v>
      </c>
      <c r="M161" s="8" t="str">
        <f t="shared" si="9"/>
        <v>Não</v>
      </c>
      <c r="N161" s="8" t="str">
        <f t="shared" si="10"/>
        <v>Não</v>
      </c>
      <c r="O161" s="8" t="str">
        <f t="shared" si="11"/>
        <v>Não</v>
      </c>
      <c r="P161" s="8" t="str">
        <f t="shared" si="12"/>
        <v>Sim</v>
      </c>
    </row>
    <row r="162" ht="36.75" hidden="1" customHeight="1">
      <c r="A162" s="5">
        <v>44322.63141630787</v>
      </c>
      <c r="B162" s="6" t="s">
        <v>136</v>
      </c>
      <c r="C162" s="6" t="s">
        <v>137</v>
      </c>
      <c r="D162" s="7" t="s">
        <v>8</v>
      </c>
      <c r="E162" s="8" t="str">
        <f t="shared" si="1"/>
        <v>Não</v>
      </c>
      <c r="F162" s="8" t="str">
        <f t="shared" si="2"/>
        <v>Não</v>
      </c>
      <c r="G162" s="8" t="str">
        <f t="shared" si="3"/>
        <v>Não</v>
      </c>
      <c r="H162" s="8" t="str">
        <f t="shared" si="4"/>
        <v>Não</v>
      </c>
      <c r="I162" s="8" t="str">
        <f t="shared" si="5"/>
        <v>Sim</v>
      </c>
      <c r="J162" s="8" t="str">
        <f t="shared" si="6"/>
        <v>Não</v>
      </c>
      <c r="K162" s="8" t="str">
        <f t="shared" si="7"/>
        <v>Não</v>
      </c>
      <c r="L162" s="8" t="str">
        <f t="shared" si="8"/>
        <v>Não</v>
      </c>
      <c r="M162" s="8" t="str">
        <f t="shared" si="9"/>
        <v>Não</v>
      </c>
      <c r="N162" s="8" t="str">
        <f t="shared" si="10"/>
        <v>Não</v>
      </c>
      <c r="O162" s="8" t="str">
        <f t="shared" si="11"/>
        <v>Não</v>
      </c>
      <c r="P162" s="8" t="str">
        <f t="shared" si="12"/>
        <v>Não</v>
      </c>
    </row>
    <row r="163" ht="36.75" hidden="1" customHeight="1">
      <c r="A163" s="5">
        <v>44322.86393284722</v>
      </c>
      <c r="B163" s="6" t="s">
        <v>136</v>
      </c>
      <c r="C163" s="6" t="s">
        <v>137</v>
      </c>
      <c r="D163" s="7" t="s">
        <v>144</v>
      </c>
      <c r="E163" s="8" t="str">
        <f t="shared" si="1"/>
        <v>Sim</v>
      </c>
      <c r="F163" s="8" t="str">
        <f t="shared" si="2"/>
        <v>Não</v>
      </c>
      <c r="G163" s="8" t="str">
        <f t="shared" si="3"/>
        <v>Sim</v>
      </c>
      <c r="H163" s="8" t="str">
        <f t="shared" si="4"/>
        <v>Não</v>
      </c>
      <c r="I163" s="8" t="str">
        <f t="shared" si="5"/>
        <v>Não</v>
      </c>
      <c r="J163" s="8" t="str">
        <f t="shared" si="6"/>
        <v>Sim</v>
      </c>
      <c r="K163" s="8" t="str">
        <f t="shared" si="7"/>
        <v>Sim</v>
      </c>
      <c r="L163" s="8" t="str">
        <f t="shared" si="8"/>
        <v>Sim</v>
      </c>
      <c r="M163" s="8" t="str">
        <f t="shared" si="9"/>
        <v>Sim</v>
      </c>
      <c r="N163" s="8" t="str">
        <f t="shared" si="10"/>
        <v>Sim</v>
      </c>
      <c r="O163" s="8" t="str">
        <f t="shared" si="11"/>
        <v>Não</v>
      </c>
      <c r="P163" s="8" t="str">
        <f t="shared" si="12"/>
        <v>Sim</v>
      </c>
    </row>
    <row r="164" ht="36.75" hidden="1" customHeight="1">
      <c r="A164" s="5">
        <v>44322.950772592594</v>
      </c>
      <c r="B164" s="6" t="s">
        <v>136</v>
      </c>
      <c r="C164" s="6" t="s">
        <v>137</v>
      </c>
      <c r="D164" s="7" t="s">
        <v>145</v>
      </c>
      <c r="E164" s="8" t="str">
        <f t="shared" si="1"/>
        <v>Sim</v>
      </c>
      <c r="F164" s="8" t="str">
        <f t="shared" si="2"/>
        <v>Não</v>
      </c>
      <c r="G164" s="8" t="str">
        <f t="shared" si="3"/>
        <v>Sim</v>
      </c>
      <c r="H164" s="8" t="str">
        <f t="shared" si="4"/>
        <v>Não</v>
      </c>
      <c r="I164" s="8" t="str">
        <f t="shared" si="5"/>
        <v>Sim</v>
      </c>
      <c r="J164" s="8" t="str">
        <f t="shared" si="6"/>
        <v>Sim</v>
      </c>
      <c r="K164" s="8" t="str">
        <f t="shared" si="7"/>
        <v>Sim</v>
      </c>
      <c r="L164" s="8" t="str">
        <f t="shared" si="8"/>
        <v>Sim</v>
      </c>
      <c r="M164" s="8" t="str">
        <f t="shared" si="9"/>
        <v>Sim</v>
      </c>
      <c r="N164" s="8" t="str">
        <f t="shared" si="10"/>
        <v>Sim</v>
      </c>
      <c r="O164" s="8" t="str">
        <f t="shared" si="11"/>
        <v>Não</v>
      </c>
      <c r="P164" s="8" t="str">
        <f t="shared" si="12"/>
        <v>Sim</v>
      </c>
    </row>
    <row r="165" ht="36.75" hidden="1" customHeight="1">
      <c r="A165" s="5">
        <v>44322.96028277778</v>
      </c>
      <c r="B165" s="6" t="s">
        <v>136</v>
      </c>
      <c r="C165" s="6" t="s">
        <v>137</v>
      </c>
      <c r="D165" s="7" t="s">
        <v>146</v>
      </c>
      <c r="E165" s="8" t="str">
        <f t="shared" si="1"/>
        <v>Sim</v>
      </c>
      <c r="F165" s="8" t="str">
        <f t="shared" si="2"/>
        <v>Não</v>
      </c>
      <c r="G165" s="8" t="str">
        <f t="shared" si="3"/>
        <v>Não</v>
      </c>
      <c r="H165" s="8" t="str">
        <f t="shared" si="4"/>
        <v>Não</v>
      </c>
      <c r="I165" s="8" t="str">
        <f t="shared" si="5"/>
        <v>Sim</v>
      </c>
      <c r="J165" s="8" t="str">
        <f t="shared" si="6"/>
        <v>Não</v>
      </c>
      <c r="K165" s="8" t="str">
        <f t="shared" si="7"/>
        <v>Não</v>
      </c>
      <c r="L165" s="8" t="str">
        <f t="shared" si="8"/>
        <v>Não</v>
      </c>
      <c r="M165" s="8" t="str">
        <f t="shared" si="9"/>
        <v>Não</v>
      </c>
      <c r="N165" s="8" t="str">
        <f t="shared" si="10"/>
        <v>Não</v>
      </c>
      <c r="O165" s="8" t="str">
        <f t="shared" si="11"/>
        <v>Não</v>
      </c>
      <c r="P165" s="8" t="str">
        <f t="shared" si="12"/>
        <v>Sim</v>
      </c>
    </row>
    <row r="166" ht="36.75" hidden="1" customHeight="1">
      <c r="A166" s="5">
        <v>44322.96147204861</v>
      </c>
      <c r="B166" s="6" t="s">
        <v>136</v>
      </c>
      <c r="C166" s="6" t="s">
        <v>137</v>
      </c>
      <c r="D166" s="7" t="s">
        <v>147</v>
      </c>
      <c r="E166" s="8" t="str">
        <f t="shared" si="1"/>
        <v>Não</v>
      </c>
      <c r="F166" s="8" t="str">
        <f t="shared" si="2"/>
        <v>Não</v>
      </c>
      <c r="G166" s="8" t="str">
        <f t="shared" si="3"/>
        <v>Não</v>
      </c>
      <c r="H166" s="8" t="str">
        <f t="shared" si="4"/>
        <v>Não</v>
      </c>
      <c r="I166" s="8" t="str">
        <f t="shared" si="5"/>
        <v>Sim</v>
      </c>
      <c r="J166" s="8" t="str">
        <f t="shared" si="6"/>
        <v>Não</v>
      </c>
      <c r="K166" s="8" t="str">
        <f t="shared" si="7"/>
        <v>Sim</v>
      </c>
      <c r="L166" s="8" t="str">
        <f t="shared" si="8"/>
        <v>Não</v>
      </c>
      <c r="M166" s="8" t="str">
        <f t="shared" si="9"/>
        <v>Não</v>
      </c>
      <c r="N166" s="8" t="str">
        <f t="shared" si="10"/>
        <v>Não</v>
      </c>
      <c r="O166" s="8" t="str">
        <f t="shared" si="11"/>
        <v>Não</v>
      </c>
      <c r="P166" s="8" t="str">
        <f t="shared" si="12"/>
        <v>Não</v>
      </c>
    </row>
    <row r="167" ht="36.75" hidden="1" customHeight="1">
      <c r="A167" s="5">
        <v>44322.961612824074</v>
      </c>
      <c r="B167" s="6" t="s">
        <v>136</v>
      </c>
      <c r="C167" s="6" t="s">
        <v>137</v>
      </c>
      <c r="D167" s="7" t="s">
        <v>147</v>
      </c>
      <c r="E167" s="8" t="str">
        <f t="shared" si="1"/>
        <v>Não</v>
      </c>
      <c r="F167" s="8" t="str">
        <f t="shared" si="2"/>
        <v>Não</v>
      </c>
      <c r="G167" s="8" t="str">
        <f t="shared" si="3"/>
        <v>Não</v>
      </c>
      <c r="H167" s="8" t="str">
        <f t="shared" si="4"/>
        <v>Não</v>
      </c>
      <c r="I167" s="8" t="str">
        <f t="shared" si="5"/>
        <v>Sim</v>
      </c>
      <c r="J167" s="8" t="str">
        <f t="shared" si="6"/>
        <v>Não</v>
      </c>
      <c r="K167" s="8" t="str">
        <f t="shared" si="7"/>
        <v>Sim</v>
      </c>
      <c r="L167" s="8" t="str">
        <f t="shared" si="8"/>
        <v>Não</v>
      </c>
      <c r="M167" s="8" t="str">
        <f t="shared" si="9"/>
        <v>Não</v>
      </c>
      <c r="N167" s="8" t="str">
        <f t="shared" si="10"/>
        <v>Não</v>
      </c>
      <c r="O167" s="8" t="str">
        <f t="shared" si="11"/>
        <v>Não</v>
      </c>
      <c r="P167" s="8" t="str">
        <f t="shared" si="12"/>
        <v>Não</v>
      </c>
    </row>
    <row r="168" ht="36.75" hidden="1" customHeight="1">
      <c r="A168" s="5">
        <v>44322.96185871528</v>
      </c>
      <c r="B168" s="6" t="s">
        <v>136</v>
      </c>
      <c r="C168" s="6" t="s">
        <v>137</v>
      </c>
      <c r="D168" s="7" t="s">
        <v>147</v>
      </c>
      <c r="E168" s="8" t="str">
        <f t="shared" si="1"/>
        <v>Não</v>
      </c>
      <c r="F168" s="8" t="str">
        <f t="shared" si="2"/>
        <v>Não</v>
      </c>
      <c r="G168" s="8" t="str">
        <f t="shared" si="3"/>
        <v>Não</v>
      </c>
      <c r="H168" s="8" t="str">
        <f t="shared" si="4"/>
        <v>Não</v>
      </c>
      <c r="I168" s="8" t="str">
        <f t="shared" si="5"/>
        <v>Sim</v>
      </c>
      <c r="J168" s="8" t="str">
        <f t="shared" si="6"/>
        <v>Não</v>
      </c>
      <c r="K168" s="8" t="str">
        <f t="shared" si="7"/>
        <v>Sim</v>
      </c>
      <c r="L168" s="8" t="str">
        <f t="shared" si="8"/>
        <v>Não</v>
      </c>
      <c r="M168" s="8" t="str">
        <f t="shared" si="9"/>
        <v>Não</v>
      </c>
      <c r="N168" s="8" t="str">
        <f t="shared" si="10"/>
        <v>Não</v>
      </c>
      <c r="O168" s="8" t="str">
        <f t="shared" si="11"/>
        <v>Não</v>
      </c>
      <c r="P168" s="8" t="str">
        <f t="shared" si="12"/>
        <v>Não</v>
      </c>
    </row>
    <row r="169" ht="36.75" hidden="1" customHeight="1">
      <c r="A169" s="5">
        <v>44323.267045636574</v>
      </c>
      <c r="B169" s="6" t="s">
        <v>136</v>
      </c>
      <c r="C169" s="6" t="s">
        <v>137</v>
      </c>
      <c r="D169" s="7" t="s">
        <v>85</v>
      </c>
      <c r="E169" s="8" t="str">
        <f t="shared" si="1"/>
        <v>Não</v>
      </c>
      <c r="F169" s="8" t="str">
        <f t="shared" si="2"/>
        <v>Não</v>
      </c>
      <c r="G169" s="8" t="str">
        <f t="shared" si="3"/>
        <v>Sim</v>
      </c>
      <c r="H169" s="8" t="str">
        <f t="shared" si="4"/>
        <v>Não</v>
      </c>
      <c r="I169" s="8" t="str">
        <f t="shared" si="5"/>
        <v>Sim</v>
      </c>
      <c r="J169" s="8" t="str">
        <f t="shared" si="6"/>
        <v>Sim</v>
      </c>
      <c r="K169" s="8" t="str">
        <f t="shared" si="7"/>
        <v>Não</v>
      </c>
      <c r="L169" s="8" t="str">
        <f t="shared" si="8"/>
        <v>Não</v>
      </c>
      <c r="M169" s="8" t="str">
        <f t="shared" si="9"/>
        <v>Não</v>
      </c>
      <c r="N169" s="8" t="str">
        <f t="shared" si="10"/>
        <v>Não</v>
      </c>
      <c r="O169" s="8" t="str">
        <f t="shared" si="11"/>
        <v>Não</v>
      </c>
      <c r="P169" s="8" t="str">
        <f t="shared" si="12"/>
        <v>Sim</v>
      </c>
    </row>
    <row r="170" ht="36.75" hidden="1" customHeight="1">
      <c r="A170" s="5">
        <v>44323.363151701386</v>
      </c>
      <c r="B170" s="6" t="s">
        <v>136</v>
      </c>
      <c r="C170" s="6" t="s">
        <v>137</v>
      </c>
      <c r="D170" s="7" t="s">
        <v>145</v>
      </c>
      <c r="E170" s="8" t="str">
        <f t="shared" si="1"/>
        <v>Sim</v>
      </c>
      <c r="F170" s="8" t="str">
        <f t="shared" si="2"/>
        <v>Não</v>
      </c>
      <c r="G170" s="8" t="str">
        <f t="shared" si="3"/>
        <v>Sim</v>
      </c>
      <c r="H170" s="8" t="str">
        <f t="shared" si="4"/>
        <v>Não</v>
      </c>
      <c r="I170" s="8" t="str">
        <f t="shared" si="5"/>
        <v>Sim</v>
      </c>
      <c r="J170" s="8" t="str">
        <f t="shared" si="6"/>
        <v>Sim</v>
      </c>
      <c r="K170" s="8" t="str">
        <f t="shared" si="7"/>
        <v>Sim</v>
      </c>
      <c r="L170" s="8" t="str">
        <f t="shared" si="8"/>
        <v>Sim</v>
      </c>
      <c r="M170" s="8" t="str">
        <f t="shared" si="9"/>
        <v>Sim</v>
      </c>
      <c r="N170" s="8" t="str">
        <f t="shared" si="10"/>
        <v>Sim</v>
      </c>
      <c r="O170" s="8" t="str">
        <f t="shared" si="11"/>
        <v>Não</v>
      </c>
      <c r="P170" s="8" t="str">
        <f t="shared" si="12"/>
        <v>Sim</v>
      </c>
    </row>
    <row r="171" ht="36.75" customHeight="1">
      <c r="A171" s="5">
        <v>44325.340512083334</v>
      </c>
      <c r="B171" s="6" t="s">
        <v>136</v>
      </c>
      <c r="C171" s="6" t="s">
        <v>137</v>
      </c>
      <c r="D171" s="7" t="s">
        <v>148</v>
      </c>
      <c r="E171" s="8" t="str">
        <f t="shared" si="1"/>
        <v>Não</v>
      </c>
      <c r="F171" s="8" t="str">
        <f t="shared" si="2"/>
        <v>Sim</v>
      </c>
      <c r="G171" s="8" t="str">
        <f t="shared" si="3"/>
        <v>Sim</v>
      </c>
      <c r="H171" s="8" t="str">
        <f t="shared" si="4"/>
        <v>Não</v>
      </c>
      <c r="I171" s="8" t="str">
        <f t="shared" si="5"/>
        <v>Não</v>
      </c>
      <c r="J171" s="8" t="str">
        <f t="shared" si="6"/>
        <v>Não</v>
      </c>
      <c r="K171" s="8" t="str">
        <f t="shared" si="7"/>
        <v>Não</v>
      </c>
      <c r="L171" s="8" t="str">
        <f t="shared" si="8"/>
        <v>Não</v>
      </c>
      <c r="M171" s="8" t="str">
        <f t="shared" si="9"/>
        <v>Não</v>
      </c>
      <c r="N171" s="8" t="str">
        <f t="shared" si="10"/>
        <v>Não</v>
      </c>
      <c r="O171" s="8" t="str">
        <f t="shared" si="11"/>
        <v>Sim</v>
      </c>
      <c r="P171" s="8" t="str">
        <f t="shared" si="12"/>
        <v>Não</v>
      </c>
    </row>
    <row r="172" ht="36.75" customHeight="1">
      <c r="A172" s="5">
        <v>44325.364333888894</v>
      </c>
      <c r="B172" s="6" t="s">
        <v>136</v>
      </c>
      <c r="C172" s="6" t="s">
        <v>137</v>
      </c>
      <c r="D172" s="7" t="s">
        <v>149</v>
      </c>
      <c r="E172" s="8" t="str">
        <f t="shared" si="1"/>
        <v>Sim</v>
      </c>
      <c r="F172" s="8" t="str">
        <f t="shared" si="2"/>
        <v>Sim</v>
      </c>
      <c r="G172" s="8" t="str">
        <f t="shared" si="3"/>
        <v>Sim</v>
      </c>
      <c r="H172" s="8" t="str">
        <f t="shared" si="4"/>
        <v>Não</v>
      </c>
      <c r="I172" s="8" t="str">
        <f t="shared" si="5"/>
        <v>Não</v>
      </c>
      <c r="J172" s="8" t="str">
        <f t="shared" si="6"/>
        <v>Sim</v>
      </c>
      <c r="K172" s="8" t="str">
        <f t="shared" si="7"/>
        <v>Sim</v>
      </c>
      <c r="L172" s="8" t="str">
        <f t="shared" si="8"/>
        <v>Sim</v>
      </c>
      <c r="M172" s="8" t="str">
        <f t="shared" si="9"/>
        <v>Não</v>
      </c>
      <c r="N172" s="8" t="str">
        <f t="shared" si="10"/>
        <v>Sim</v>
      </c>
      <c r="O172" s="8" t="str">
        <f t="shared" si="11"/>
        <v>Sim</v>
      </c>
      <c r="P172" s="8" t="str">
        <f t="shared" si="12"/>
        <v>Sim</v>
      </c>
    </row>
    <row r="173" ht="36.75" hidden="1" customHeight="1">
      <c r="A173" s="5">
        <v>44325.84721989583</v>
      </c>
      <c r="B173" s="6" t="s">
        <v>136</v>
      </c>
      <c r="C173" s="6" t="s">
        <v>137</v>
      </c>
      <c r="D173" s="7" t="s">
        <v>150</v>
      </c>
      <c r="E173" s="8" t="str">
        <f t="shared" si="1"/>
        <v>Sim</v>
      </c>
      <c r="F173" s="8" t="str">
        <f t="shared" si="2"/>
        <v>Não</v>
      </c>
      <c r="G173" s="8" t="str">
        <f t="shared" si="3"/>
        <v>Não</v>
      </c>
      <c r="H173" s="8" t="str">
        <f t="shared" si="4"/>
        <v>Não</v>
      </c>
      <c r="I173" s="8" t="str">
        <f t="shared" si="5"/>
        <v>Sim</v>
      </c>
      <c r="J173" s="8" t="str">
        <f t="shared" si="6"/>
        <v>Não</v>
      </c>
      <c r="K173" s="8" t="str">
        <f t="shared" si="7"/>
        <v>Não</v>
      </c>
      <c r="L173" s="8" t="str">
        <f t="shared" si="8"/>
        <v>Não</v>
      </c>
      <c r="M173" s="8" t="str">
        <f t="shared" si="9"/>
        <v>Não</v>
      </c>
      <c r="N173" s="8" t="str">
        <f t="shared" si="10"/>
        <v>Não</v>
      </c>
      <c r="O173" s="8" t="str">
        <f t="shared" si="11"/>
        <v>Não</v>
      </c>
      <c r="P173" s="8" t="str">
        <f t="shared" si="12"/>
        <v>Não</v>
      </c>
    </row>
    <row r="174" ht="36.75" hidden="1" customHeight="1">
      <c r="A174" s="5">
        <v>44325.84911930555</v>
      </c>
      <c r="B174" s="6" t="s">
        <v>136</v>
      </c>
      <c r="C174" s="6" t="s">
        <v>137</v>
      </c>
      <c r="D174" s="7" t="s">
        <v>146</v>
      </c>
      <c r="E174" s="8" t="str">
        <f t="shared" si="1"/>
        <v>Sim</v>
      </c>
      <c r="F174" s="8" t="str">
        <f t="shared" si="2"/>
        <v>Não</v>
      </c>
      <c r="G174" s="8" t="str">
        <f t="shared" si="3"/>
        <v>Não</v>
      </c>
      <c r="H174" s="8" t="str">
        <f t="shared" si="4"/>
        <v>Não</v>
      </c>
      <c r="I174" s="8" t="str">
        <f t="shared" si="5"/>
        <v>Sim</v>
      </c>
      <c r="J174" s="8" t="str">
        <f t="shared" si="6"/>
        <v>Não</v>
      </c>
      <c r="K174" s="8" t="str">
        <f t="shared" si="7"/>
        <v>Não</v>
      </c>
      <c r="L174" s="8" t="str">
        <f t="shared" si="8"/>
        <v>Não</v>
      </c>
      <c r="M174" s="8" t="str">
        <f t="shared" si="9"/>
        <v>Não</v>
      </c>
      <c r="N174" s="8" t="str">
        <f t="shared" si="10"/>
        <v>Não</v>
      </c>
      <c r="O174" s="8" t="str">
        <f t="shared" si="11"/>
        <v>Não</v>
      </c>
      <c r="P174" s="8" t="str">
        <f t="shared" si="12"/>
        <v>Sim</v>
      </c>
    </row>
    <row r="175" ht="36.75" hidden="1" customHeight="1">
      <c r="A175" s="10"/>
      <c r="B175" s="10"/>
      <c r="C175" s="10"/>
      <c r="D175" s="11"/>
      <c r="E175" s="10"/>
      <c r="F175" s="12"/>
      <c r="G175" s="10"/>
      <c r="H175" s="12"/>
      <c r="I175" s="12"/>
      <c r="J175" s="12"/>
      <c r="K175" s="12"/>
      <c r="L175" s="12"/>
      <c r="M175" s="12"/>
      <c r="N175" s="12"/>
      <c r="O175" s="12"/>
      <c r="P175" s="12"/>
    </row>
    <row r="176" ht="36.75" customHeight="1">
      <c r="A176" s="10"/>
      <c r="B176" s="10"/>
      <c r="C176" s="10"/>
      <c r="D176" s="11"/>
      <c r="E176" s="10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</row>
    <row r="177" ht="36.75" customHeight="1">
      <c r="A177" s="10"/>
      <c r="B177" s="10"/>
      <c r="C177" s="10"/>
      <c r="D177" s="11"/>
      <c r="E177" s="10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</row>
    <row r="178" ht="36.75" customHeight="1">
      <c r="A178" s="10"/>
      <c r="B178" s="10"/>
      <c r="C178" s="10"/>
      <c r="D178" s="11"/>
      <c r="E178" s="10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</row>
    <row r="179" ht="36.75" customHeight="1">
      <c r="A179" s="10"/>
      <c r="B179" s="10"/>
      <c r="C179" s="10"/>
      <c r="D179" s="11"/>
      <c r="E179" s="10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</row>
    <row r="180" ht="36.75" customHeight="1">
      <c r="A180" s="10"/>
      <c r="B180" s="10"/>
      <c r="C180" s="10"/>
      <c r="D180" s="11"/>
      <c r="E180" s="10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</row>
    <row r="181" ht="36.75" customHeight="1">
      <c r="A181" s="10"/>
      <c r="B181" s="10"/>
      <c r="C181" s="10"/>
      <c r="D181" s="11"/>
      <c r="E181" s="10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</row>
    <row r="182" ht="36.75" customHeight="1">
      <c r="A182" s="10"/>
      <c r="B182" s="10"/>
      <c r="C182" s="10"/>
      <c r="D182" s="11"/>
      <c r="E182" s="10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</row>
    <row r="183" ht="36.75" customHeight="1">
      <c r="A183" s="10"/>
      <c r="B183" s="10"/>
      <c r="C183" s="10"/>
      <c r="D183" s="11"/>
      <c r="E183" s="10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</row>
    <row r="184" ht="36.75" customHeight="1">
      <c r="A184" s="10"/>
      <c r="B184" s="10"/>
      <c r="C184" s="10"/>
      <c r="D184" s="11"/>
      <c r="E184" s="10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</row>
    <row r="185" ht="36.75" customHeight="1">
      <c r="A185" s="10"/>
      <c r="B185" s="10"/>
      <c r="C185" s="10"/>
      <c r="D185" s="11"/>
      <c r="E185" s="10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</row>
    <row r="186" ht="36.75" customHeight="1">
      <c r="A186" s="10"/>
      <c r="B186" s="10"/>
      <c r="C186" s="10"/>
      <c r="D186" s="11"/>
      <c r="E186" s="10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</row>
    <row r="187" ht="36.75" customHeight="1">
      <c r="A187" s="10"/>
      <c r="B187" s="10"/>
      <c r="C187" s="10"/>
      <c r="D187" s="11"/>
      <c r="E187" s="10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</row>
    <row r="188" ht="36.75" customHeight="1">
      <c r="A188" s="10"/>
      <c r="B188" s="10"/>
      <c r="C188" s="10"/>
      <c r="D188" s="11"/>
      <c r="E188" s="10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</row>
    <row r="189" ht="36.75" customHeight="1">
      <c r="A189" s="10"/>
      <c r="B189" s="10"/>
      <c r="C189" s="10"/>
      <c r="D189" s="11"/>
      <c r="E189" s="10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</row>
    <row r="190" ht="36.75" customHeight="1">
      <c r="A190" s="10"/>
      <c r="B190" s="10"/>
      <c r="C190" s="10"/>
      <c r="D190" s="11"/>
      <c r="E190" s="10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</row>
    <row r="191" ht="36.75" customHeight="1">
      <c r="A191" s="10"/>
      <c r="B191" s="10"/>
      <c r="C191" s="10"/>
      <c r="D191" s="11"/>
      <c r="E191" s="10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</row>
    <row r="192" ht="36.75" customHeight="1">
      <c r="A192" s="10"/>
      <c r="B192" s="10"/>
      <c r="C192" s="10"/>
      <c r="D192" s="11"/>
      <c r="E192" s="10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</row>
    <row r="193" ht="36.75" customHeight="1">
      <c r="A193" s="10"/>
      <c r="B193" s="10"/>
      <c r="C193" s="10"/>
      <c r="D193" s="11"/>
      <c r="E193" s="10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</row>
    <row r="194" ht="36.75" customHeight="1">
      <c r="A194" s="10"/>
      <c r="B194" s="10"/>
      <c r="C194" s="10"/>
      <c r="D194" s="11"/>
      <c r="E194" s="10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ht="36.75" customHeight="1">
      <c r="A195" s="10"/>
      <c r="B195" s="10"/>
      <c r="C195" s="10"/>
      <c r="D195" s="11"/>
      <c r="E195" s="10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ht="36.75" customHeight="1">
      <c r="A196" s="10"/>
      <c r="B196" s="10"/>
      <c r="C196" s="10"/>
      <c r="D196" s="11"/>
      <c r="E196" s="10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ht="36.75" customHeight="1">
      <c r="A197" s="10"/>
      <c r="B197" s="10"/>
      <c r="C197" s="10"/>
      <c r="D197" s="11"/>
      <c r="E197" s="10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ht="36.75" customHeight="1">
      <c r="A198" s="10"/>
      <c r="B198" s="10"/>
      <c r="C198" s="10"/>
      <c r="D198" s="11"/>
      <c r="E198" s="10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ht="36.75" customHeight="1">
      <c r="A199" s="10"/>
      <c r="B199" s="10"/>
      <c r="C199" s="10"/>
      <c r="D199" s="11"/>
      <c r="E199" s="10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ht="36.75" customHeight="1">
      <c r="A200" s="10"/>
      <c r="B200" s="10"/>
      <c r="C200" s="10"/>
      <c r="D200" s="11"/>
      <c r="E200" s="10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ht="36.75" customHeight="1">
      <c r="A201" s="10"/>
      <c r="B201" s="10"/>
      <c r="C201" s="10"/>
      <c r="D201" s="11"/>
      <c r="E201" s="10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ht="36.75" customHeight="1">
      <c r="A202" s="10"/>
      <c r="B202" s="10"/>
      <c r="C202" s="10"/>
      <c r="D202" s="11"/>
      <c r="E202" s="10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ht="36.75" customHeight="1">
      <c r="A203" s="10"/>
      <c r="B203" s="10"/>
      <c r="C203" s="10"/>
      <c r="D203" s="11"/>
      <c r="E203" s="10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ht="36.75" customHeight="1">
      <c r="A204" s="10"/>
      <c r="B204" s="10"/>
      <c r="C204" s="10"/>
      <c r="D204" s="11"/>
      <c r="E204" s="10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ht="36.75" customHeight="1">
      <c r="A205" s="10"/>
      <c r="B205" s="10"/>
      <c r="C205" s="10"/>
      <c r="D205" s="11"/>
      <c r="E205" s="10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ht="36.75" customHeight="1">
      <c r="A206" s="10"/>
      <c r="B206" s="10"/>
      <c r="C206" s="10"/>
      <c r="D206" s="11"/>
      <c r="E206" s="10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ht="36.75" customHeight="1">
      <c r="A207" s="10"/>
      <c r="B207" s="10"/>
      <c r="C207" s="10"/>
      <c r="D207" s="11"/>
      <c r="E207" s="10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ht="36.75" customHeight="1">
      <c r="A208" s="10"/>
      <c r="B208" s="10"/>
      <c r="C208" s="10"/>
      <c r="D208" s="11"/>
      <c r="E208" s="10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ht="36.75" customHeight="1">
      <c r="A209" s="10"/>
      <c r="B209" s="10"/>
      <c r="C209" s="10"/>
      <c r="D209" s="11"/>
      <c r="E209" s="10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ht="36.75" customHeight="1">
      <c r="A210" s="10"/>
      <c r="B210" s="10"/>
      <c r="C210" s="10"/>
      <c r="D210" s="11"/>
      <c r="E210" s="10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ht="36.75" customHeight="1">
      <c r="A211" s="10"/>
      <c r="B211" s="10"/>
      <c r="C211" s="10"/>
      <c r="D211" s="11"/>
      <c r="E211" s="10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ht="36.75" customHeight="1">
      <c r="A212" s="10"/>
      <c r="B212" s="10"/>
      <c r="C212" s="10"/>
      <c r="D212" s="11"/>
      <c r="E212" s="10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ht="36.75" customHeight="1">
      <c r="A213" s="10"/>
      <c r="B213" s="10"/>
      <c r="C213" s="10"/>
      <c r="D213" s="11"/>
      <c r="E213" s="10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ht="36.75" customHeight="1">
      <c r="A214" s="10"/>
      <c r="B214" s="10"/>
      <c r="C214" s="10"/>
      <c r="D214" s="11"/>
      <c r="E214" s="10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ht="36.75" customHeight="1">
      <c r="A215" s="10"/>
      <c r="B215" s="10"/>
      <c r="C215" s="10"/>
      <c r="D215" s="11"/>
      <c r="E215" s="10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ht="36.75" customHeight="1">
      <c r="A216" s="10"/>
      <c r="B216" s="10"/>
      <c r="C216" s="10"/>
      <c r="D216" s="11"/>
      <c r="E216" s="10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ht="36.75" customHeight="1">
      <c r="A217" s="10"/>
      <c r="B217" s="10"/>
      <c r="C217" s="10"/>
      <c r="D217" s="11"/>
      <c r="E217" s="10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ht="36.75" customHeight="1">
      <c r="A218" s="10"/>
      <c r="B218" s="10"/>
      <c r="C218" s="10"/>
      <c r="D218" s="11"/>
      <c r="E218" s="10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ht="36.75" customHeight="1">
      <c r="A219" s="10"/>
      <c r="B219" s="10"/>
      <c r="C219" s="10"/>
      <c r="D219" s="11"/>
      <c r="E219" s="10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ht="36.75" customHeight="1">
      <c r="A220" s="10"/>
      <c r="B220" s="10"/>
      <c r="C220" s="10"/>
      <c r="D220" s="11"/>
      <c r="E220" s="10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ht="36.75" customHeight="1">
      <c r="A221" s="10"/>
      <c r="B221" s="10"/>
      <c r="C221" s="10"/>
      <c r="D221" s="11"/>
      <c r="E221" s="10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ht="36.75" customHeight="1">
      <c r="A222" s="10"/>
      <c r="B222" s="10"/>
      <c r="C222" s="10"/>
      <c r="D222" s="11"/>
      <c r="E222" s="10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ht="36.75" customHeight="1">
      <c r="A223" s="10"/>
      <c r="B223" s="10"/>
      <c r="C223" s="10"/>
      <c r="D223" s="11"/>
      <c r="E223" s="10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ht="36.75" customHeight="1">
      <c r="A224" s="10"/>
      <c r="B224" s="10"/>
      <c r="C224" s="10"/>
      <c r="D224" s="11"/>
      <c r="E224" s="10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ht="36.75" customHeight="1">
      <c r="A225" s="10"/>
      <c r="B225" s="10"/>
      <c r="C225" s="10"/>
      <c r="D225" s="11"/>
      <c r="E225" s="10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ht="36.75" customHeight="1">
      <c r="A226" s="10"/>
      <c r="B226" s="10"/>
      <c r="C226" s="10"/>
      <c r="D226" s="11"/>
      <c r="E226" s="10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ht="36.75" customHeight="1">
      <c r="A227" s="10"/>
      <c r="B227" s="10"/>
      <c r="C227" s="10"/>
      <c r="D227" s="11"/>
      <c r="E227" s="10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ht="36.75" customHeight="1">
      <c r="A228" s="10"/>
      <c r="B228" s="10"/>
      <c r="C228" s="10"/>
      <c r="D228" s="11"/>
      <c r="E228" s="10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ht="36.75" customHeight="1">
      <c r="A229" s="10"/>
      <c r="B229" s="10"/>
      <c r="C229" s="10"/>
      <c r="D229" s="11"/>
      <c r="E229" s="10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ht="36.75" customHeight="1">
      <c r="A230" s="10"/>
      <c r="B230" s="10"/>
      <c r="C230" s="10"/>
      <c r="D230" s="11"/>
      <c r="E230" s="10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ht="36.75" customHeight="1">
      <c r="A231" s="10"/>
      <c r="B231" s="10"/>
      <c r="C231" s="10"/>
      <c r="D231" s="11"/>
      <c r="E231" s="10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ht="36.75" customHeight="1">
      <c r="A232" s="10"/>
      <c r="B232" s="10"/>
      <c r="C232" s="10"/>
      <c r="D232" s="11"/>
      <c r="E232" s="10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ht="36.75" customHeight="1">
      <c r="A233" s="10"/>
      <c r="B233" s="10"/>
      <c r="C233" s="10"/>
      <c r="D233" s="11"/>
      <c r="E233" s="10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ht="36.75" customHeight="1">
      <c r="A234" s="10"/>
      <c r="B234" s="10"/>
      <c r="C234" s="10"/>
      <c r="D234" s="11"/>
      <c r="E234" s="10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ht="36.75" customHeight="1">
      <c r="A235" s="10"/>
      <c r="B235" s="10"/>
      <c r="C235" s="10"/>
      <c r="D235" s="11"/>
      <c r="E235" s="10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ht="36.75" customHeight="1">
      <c r="A236" s="10"/>
      <c r="B236" s="10"/>
      <c r="C236" s="10"/>
      <c r="D236" s="11"/>
      <c r="E236" s="10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ht="36.75" customHeight="1">
      <c r="A237" s="10"/>
      <c r="B237" s="10"/>
      <c r="C237" s="10"/>
      <c r="D237" s="11"/>
      <c r="E237" s="10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ht="36.75" customHeight="1">
      <c r="A238" s="10"/>
      <c r="B238" s="10"/>
      <c r="C238" s="10"/>
      <c r="D238" s="11"/>
      <c r="E238" s="10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ht="36.75" customHeight="1">
      <c r="A239" s="10"/>
      <c r="B239" s="10"/>
      <c r="C239" s="10"/>
      <c r="D239" s="11"/>
      <c r="E239" s="10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ht="36.75" customHeight="1">
      <c r="A240" s="10"/>
      <c r="B240" s="10"/>
      <c r="C240" s="10"/>
      <c r="D240" s="11"/>
      <c r="E240" s="10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ht="36.75" customHeight="1">
      <c r="A241" s="10"/>
      <c r="B241" s="10"/>
      <c r="C241" s="10"/>
      <c r="D241" s="11"/>
      <c r="E241" s="10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ht="36.75" customHeight="1">
      <c r="A242" s="10"/>
      <c r="B242" s="10"/>
      <c r="C242" s="10"/>
      <c r="D242" s="11"/>
      <c r="E242" s="10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ht="36.75" customHeight="1">
      <c r="A243" s="10"/>
      <c r="B243" s="10"/>
      <c r="C243" s="10"/>
      <c r="D243" s="11"/>
      <c r="E243" s="10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ht="36.75" customHeight="1">
      <c r="A244" s="10"/>
      <c r="B244" s="10"/>
      <c r="C244" s="10"/>
      <c r="D244" s="11"/>
      <c r="E244" s="10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ht="36.75" customHeight="1">
      <c r="A245" s="10"/>
      <c r="B245" s="10"/>
      <c r="C245" s="10"/>
      <c r="D245" s="11"/>
      <c r="E245" s="10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ht="36.75" customHeight="1">
      <c r="A246" s="10"/>
      <c r="B246" s="10"/>
      <c r="C246" s="10"/>
      <c r="D246" s="11"/>
      <c r="E246" s="10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ht="36.75" customHeight="1">
      <c r="A247" s="10"/>
      <c r="B247" s="10"/>
      <c r="C247" s="10"/>
      <c r="D247" s="11"/>
      <c r="E247" s="10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ht="36.75" customHeight="1">
      <c r="A248" s="10"/>
      <c r="B248" s="10"/>
      <c r="C248" s="10"/>
      <c r="D248" s="11"/>
      <c r="E248" s="10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ht="36.75" customHeight="1">
      <c r="A249" s="10"/>
      <c r="B249" s="10"/>
      <c r="C249" s="10"/>
      <c r="D249" s="11"/>
      <c r="E249" s="10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ht="36.75" customHeight="1">
      <c r="A250" s="10"/>
      <c r="B250" s="10"/>
      <c r="C250" s="10"/>
      <c r="D250" s="11"/>
      <c r="E250" s="10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ht="36.75" customHeight="1">
      <c r="A251" s="10"/>
      <c r="B251" s="10"/>
      <c r="C251" s="10"/>
      <c r="D251" s="11"/>
      <c r="E251" s="10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ht="36.75" customHeight="1">
      <c r="A252" s="10"/>
      <c r="B252" s="10"/>
      <c r="C252" s="10"/>
      <c r="D252" s="11"/>
      <c r="E252" s="10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ht="36.75" customHeight="1">
      <c r="A253" s="10"/>
      <c r="B253" s="10"/>
      <c r="C253" s="10"/>
      <c r="D253" s="11"/>
      <c r="E253" s="10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ht="36.75" customHeight="1">
      <c r="A254" s="10"/>
      <c r="B254" s="10"/>
      <c r="C254" s="10"/>
      <c r="D254" s="11"/>
      <c r="E254" s="10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ht="36.75" customHeight="1">
      <c r="A255" s="10"/>
      <c r="B255" s="10"/>
      <c r="C255" s="10"/>
      <c r="D255" s="11"/>
      <c r="E255" s="10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ht="36.75" customHeight="1">
      <c r="A256" s="10"/>
      <c r="B256" s="10"/>
      <c r="C256" s="10"/>
      <c r="D256" s="11"/>
      <c r="E256" s="10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ht="36.75" customHeight="1">
      <c r="A257" s="10"/>
      <c r="B257" s="10"/>
      <c r="C257" s="10"/>
      <c r="D257" s="11"/>
      <c r="E257" s="10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ht="36.75" customHeight="1">
      <c r="A258" s="10"/>
      <c r="B258" s="10"/>
      <c r="C258" s="10"/>
      <c r="D258" s="11"/>
      <c r="E258" s="10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ht="36.75" customHeight="1">
      <c r="A259" s="10"/>
      <c r="B259" s="10"/>
      <c r="C259" s="10"/>
      <c r="D259" s="11"/>
      <c r="E259" s="10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ht="36.75" customHeight="1">
      <c r="A260" s="10"/>
      <c r="B260" s="10"/>
      <c r="C260" s="10"/>
      <c r="D260" s="11"/>
      <c r="E260" s="10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ht="36.75" customHeight="1">
      <c r="A261" s="10"/>
      <c r="B261" s="10"/>
      <c r="C261" s="10"/>
      <c r="D261" s="11"/>
      <c r="E261" s="10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ht="36.75" customHeight="1">
      <c r="A262" s="10"/>
      <c r="B262" s="10"/>
      <c r="C262" s="10"/>
      <c r="D262" s="11"/>
      <c r="E262" s="10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ht="36.75" customHeight="1">
      <c r="A263" s="10"/>
      <c r="B263" s="10"/>
      <c r="C263" s="10"/>
      <c r="D263" s="11"/>
      <c r="E263" s="10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ht="36.75" customHeight="1">
      <c r="A264" s="10"/>
      <c r="B264" s="10"/>
      <c r="C264" s="10"/>
      <c r="D264" s="11"/>
      <c r="E264" s="10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ht="36.75" customHeight="1">
      <c r="A265" s="10"/>
      <c r="B265" s="10"/>
      <c r="C265" s="10"/>
      <c r="D265" s="11"/>
      <c r="E265" s="10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ht="36.75" customHeight="1">
      <c r="A266" s="10"/>
      <c r="B266" s="10"/>
      <c r="C266" s="10"/>
      <c r="D266" s="11"/>
      <c r="E266" s="10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ht="36.75" customHeight="1">
      <c r="A267" s="10"/>
      <c r="B267" s="10"/>
      <c r="C267" s="10"/>
      <c r="D267" s="11"/>
      <c r="E267" s="10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ht="36.75" customHeight="1">
      <c r="A268" s="10"/>
      <c r="B268" s="10"/>
      <c r="C268" s="10"/>
      <c r="D268" s="11"/>
      <c r="E268" s="10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ht="36.75" customHeight="1">
      <c r="A269" s="10"/>
      <c r="B269" s="10"/>
      <c r="C269" s="10"/>
      <c r="D269" s="11"/>
      <c r="E269" s="10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ht="36.75" customHeight="1">
      <c r="A270" s="10"/>
      <c r="B270" s="10"/>
      <c r="C270" s="10"/>
      <c r="D270" s="11"/>
      <c r="E270" s="10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ht="36.75" customHeight="1">
      <c r="A271" s="10"/>
      <c r="B271" s="10"/>
      <c r="C271" s="10"/>
      <c r="D271" s="11"/>
      <c r="E271" s="10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ht="36.75" customHeight="1">
      <c r="A272" s="10"/>
      <c r="B272" s="10"/>
      <c r="C272" s="10"/>
      <c r="D272" s="11"/>
      <c r="E272" s="10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ht="36.75" customHeight="1">
      <c r="A273" s="10"/>
      <c r="B273" s="10"/>
      <c r="C273" s="10"/>
      <c r="D273" s="11"/>
      <c r="E273" s="10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ht="36.75" customHeight="1">
      <c r="A274" s="10"/>
      <c r="B274" s="10"/>
      <c r="C274" s="10"/>
      <c r="D274" s="11"/>
      <c r="E274" s="10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</sheetData>
  <autoFilter ref="$A$1:$P$175">
    <filterColumn colId="2">
      <filters>
        <filter val="Geração X"/>
        <filter val="Millenials"/>
        <filter val="Geração Z"/>
        <filter val="Boomers"/>
      </filters>
    </filterColumn>
    <filterColumn colId="14">
      <filters blank="1">
        <filter val="Sim"/>
      </filters>
    </filterColumn>
  </autoFilter>
  <drawing r:id="rId1"/>
</worksheet>
</file>